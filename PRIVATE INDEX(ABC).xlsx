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0e1965631d3919/Documents/"/>
    </mc:Choice>
  </mc:AlternateContent>
  <xr:revisionPtr revIDLastSave="12" documentId="13_ncr:1_{763C7D52-A92F-4A8B-ADEA-9DF74D3C08E4}" xr6:coauthVersionLast="47" xr6:coauthVersionMax="47" xr10:uidLastSave="{1B87E71B-B476-4F40-834C-063293EE3CCC}"/>
  <bookViews>
    <workbookView xWindow="-110" yWindow="-110" windowWidth="19420" windowHeight="10300" activeTab="1" xr2:uid="{099CCA16-EA21-4B20-9EF7-9819E9B4945A}"/>
  </bookViews>
  <sheets>
    <sheet name="Sheet1" sheetId="1" r:id="rId1"/>
    <sheet name="Sheet2" sheetId="2" r:id="rId2"/>
    <sheet name="M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" l="1"/>
  <c r="F11" i="3"/>
  <c r="E5" i="3"/>
  <c r="F17" i="2"/>
  <c r="F5" i="3"/>
  <c r="E13" i="3"/>
  <c r="F21" i="3"/>
  <c r="F17" i="3"/>
  <c r="C21" i="3"/>
  <c r="F16" i="3"/>
  <c r="F18" i="3"/>
  <c r="F19" i="3"/>
  <c r="F20" i="3"/>
  <c r="F15" i="3"/>
  <c r="E6" i="3"/>
  <c r="F6" i="3" s="1"/>
  <c r="E7" i="3"/>
  <c r="F7" i="3" s="1"/>
  <c r="E8" i="3"/>
  <c r="F8" i="3" s="1"/>
  <c r="E9" i="3"/>
  <c r="F9" i="3" s="1"/>
  <c r="E10" i="3"/>
  <c r="F10" i="3" s="1"/>
  <c r="C11" i="3"/>
  <c r="B66" i="1"/>
  <c r="E57" i="1"/>
  <c r="E58" i="1"/>
  <c r="E59" i="1"/>
  <c r="E60" i="1"/>
  <c r="E61" i="1"/>
  <c r="E62" i="1"/>
  <c r="E63" i="1"/>
  <c r="E64" i="1"/>
  <c r="E65" i="1"/>
  <c r="E56" i="1"/>
  <c r="E44" i="1"/>
  <c r="E45" i="1"/>
  <c r="E46" i="1"/>
  <c r="E47" i="1"/>
  <c r="E48" i="1"/>
  <c r="E49" i="1"/>
  <c r="E50" i="1"/>
  <c r="E51" i="1"/>
  <c r="E52" i="1"/>
  <c r="E43" i="1"/>
  <c r="B53" i="1"/>
  <c r="L28" i="2"/>
  <c r="L29" i="2"/>
  <c r="L30" i="2"/>
  <c r="L31" i="2"/>
  <c r="L32" i="2"/>
  <c r="L27" i="2"/>
  <c r="B40" i="1"/>
  <c r="E31" i="1"/>
  <c r="E32" i="1"/>
  <c r="E33" i="1"/>
  <c r="E34" i="1"/>
  <c r="E35" i="1"/>
  <c r="E36" i="1"/>
  <c r="E37" i="1"/>
  <c r="E38" i="1"/>
  <c r="E39" i="1"/>
  <c r="E30" i="1"/>
  <c r="B26" i="1"/>
  <c r="F21" i="1"/>
  <c r="F22" i="1"/>
  <c r="F23" i="1"/>
  <c r="F24" i="1"/>
  <c r="F25" i="1"/>
  <c r="F16" i="1"/>
  <c r="E16" i="1"/>
  <c r="G16" i="1" s="1"/>
  <c r="E17" i="1"/>
  <c r="E18" i="1"/>
  <c r="E19" i="1"/>
  <c r="E20" i="1"/>
  <c r="E21" i="1"/>
  <c r="E22" i="1"/>
  <c r="E23" i="1"/>
  <c r="E24" i="1"/>
  <c r="E25" i="1"/>
  <c r="F18" i="2"/>
  <c r="F19" i="2"/>
  <c r="F20" i="2"/>
  <c r="F21" i="2"/>
  <c r="F22" i="2"/>
  <c r="S18" i="2"/>
  <c r="S19" i="2"/>
  <c r="S17" i="2"/>
  <c r="I18" i="2"/>
  <c r="I19" i="2"/>
  <c r="I20" i="2"/>
  <c r="I21" i="2"/>
  <c r="I22" i="2"/>
  <c r="I17" i="2"/>
  <c r="V18" i="2"/>
  <c r="V19" i="2"/>
  <c r="V17" i="2"/>
  <c r="C12" i="2"/>
  <c r="E3" i="1"/>
  <c r="E4" i="1"/>
  <c r="E5" i="1"/>
  <c r="E6" i="1"/>
  <c r="E7" i="1"/>
  <c r="E8" i="1"/>
  <c r="E9" i="1"/>
  <c r="E10" i="1"/>
  <c r="E11" i="1"/>
  <c r="E12" i="1"/>
  <c r="B13" i="1"/>
  <c r="F17" i="1" l="1"/>
  <c r="F18" i="1"/>
  <c r="F20" i="1"/>
  <c r="F19" i="1"/>
  <c r="F4" i="1"/>
  <c r="G4" i="1" s="1"/>
  <c r="L4" i="1" s="1"/>
  <c r="F10" i="1"/>
  <c r="G10" i="1" s="1"/>
  <c r="L10" i="1" s="1"/>
  <c r="F3" i="1"/>
  <c r="G3" i="1" s="1"/>
  <c r="L3" i="1" s="1"/>
  <c r="F6" i="1"/>
  <c r="G6" i="1" s="1"/>
  <c r="L6" i="1" s="1"/>
  <c r="F9" i="1"/>
  <c r="G9" i="1" s="1"/>
  <c r="L9" i="1" s="1"/>
  <c r="L13" i="1" s="1"/>
  <c r="L15" i="1" s="1"/>
  <c r="L16" i="1" s="1"/>
  <c r="F12" i="1"/>
  <c r="G12" i="1" s="1"/>
  <c r="L12" i="1" s="1"/>
  <c r="F11" i="1"/>
  <c r="G11" i="1" s="1"/>
  <c r="L11" i="1" s="1"/>
  <c r="F7" i="1"/>
  <c r="G7" i="1" s="1"/>
  <c r="L7" i="1" s="1"/>
  <c r="F5" i="1"/>
  <c r="G5" i="1" s="1"/>
  <c r="L5" i="1" s="1"/>
  <c r="F8" i="1"/>
  <c r="G8" i="1" s="1"/>
  <c r="L8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56" i="1"/>
  <c r="G56" i="1" s="1"/>
  <c r="F32" i="1"/>
  <c r="G32" i="1" s="1"/>
  <c r="F37" i="1"/>
  <c r="G37" i="1" s="1"/>
  <c r="F39" i="1"/>
  <c r="G39" i="1" s="1"/>
  <c r="F33" i="1"/>
  <c r="G33" i="1" s="1"/>
  <c r="F31" i="1"/>
  <c r="G31" i="1" s="1"/>
  <c r="F36" i="1"/>
  <c r="G36" i="1" s="1"/>
  <c r="F38" i="1"/>
  <c r="G38" i="1" s="1"/>
  <c r="F30" i="1"/>
  <c r="G30" i="1" s="1"/>
  <c r="F34" i="1"/>
  <c r="G34" i="1" s="1"/>
  <c r="F35" i="1"/>
  <c r="G35" i="1" s="1"/>
  <c r="F47" i="1"/>
  <c r="G47" i="1" s="1"/>
  <c r="F49" i="1"/>
  <c r="G49" i="1" s="1"/>
  <c r="F46" i="1"/>
  <c r="G46" i="1" s="1"/>
  <c r="F48" i="1"/>
  <c r="G48" i="1" s="1"/>
  <c r="F45" i="1"/>
  <c r="G45" i="1" s="1"/>
  <c r="F52" i="1"/>
  <c r="G52" i="1" s="1"/>
  <c r="F50" i="1"/>
  <c r="G50" i="1" s="1"/>
  <c r="F43" i="1"/>
  <c r="G43" i="1" s="1"/>
  <c r="F44" i="1"/>
  <c r="G44" i="1" s="1"/>
  <c r="F51" i="1"/>
  <c r="G51" i="1" s="1"/>
  <c r="G17" i="1"/>
  <c r="G19" i="1"/>
  <c r="G22" i="1"/>
  <c r="G24" i="1"/>
  <c r="G18" i="1"/>
  <c r="G20" i="1"/>
  <c r="L20" i="1" s="1"/>
  <c r="G21" i="1"/>
  <c r="G23" i="1"/>
  <c r="G25" i="1"/>
  <c r="L17" i="1" l="1"/>
  <c r="L26" i="1" s="1"/>
  <c r="L29" i="1" s="1"/>
  <c r="L19" i="1"/>
  <c r="L24" i="1"/>
  <c r="L18" i="1"/>
  <c r="L22" i="1"/>
  <c r="L21" i="1"/>
  <c r="L23" i="1"/>
  <c r="L25" i="1"/>
  <c r="L34" i="1" l="1"/>
  <c r="L30" i="1"/>
  <c r="L40" i="1" s="1"/>
  <c r="L42" i="1" s="1"/>
  <c r="L38" i="1"/>
  <c r="L36" i="1"/>
  <c r="L31" i="1"/>
  <c r="L33" i="1"/>
  <c r="L35" i="1"/>
  <c r="L39" i="1"/>
  <c r="L37" i="1"/>
  <c r="L32" i="1"/>
  <c r="L53" i="1" l="1"/>
  <c r="L55" i="1" s="1"/>
  <c r="L43" i="1"/>
  <c r="L51" i="1"/>
  <c r="L44" i="1"/>
  <c r="L50" i="1"/>
  <c r="L52" i="1"/>
  <c r="L45" i="1"/>
  <c r="L48" i="1"/>
  <c r="L46" i="1"/>
  <c r="L49" i="1"/>
  <c r="L47" i="1"/>
  <c r="L60" i="1" l="1"/>
  <c r="L66" i="1" s="1"/>
  <c r="L62" i="1"/>
  <c r="L61" i="1"/>
  <c r="L56" i="1"/>
  <c r="L65" i="1"/>
  <c r="L64" i="1"/>
  <c r="L63" i="1"/>
  <c r="L59" i="1"/>
  <c r="L58" i="1"/>
  <c r="L57" i="1"/>
</calcChain>
</file>

<file path=xl/sharedStrings.xml><?xml version="1.0" encoding="utf-8"?>
<sst xmlns="http://schemas.openxmlformats.org/spreadsheetml/2006/main" count="217" uniqueCount="65">
  <si>
    <t>PRIVATE BANKS INDEX</t>
  </si>
  <si>
    <t>COMPANY NAME</t>
  </si>
  <si>
    <t xml:space="preserve">MARKET CAP </t>
  </si>
  <si>
    <t>OPENING</t>
  </si>
  <si>
    <t>%CHANGE</t>
  </si>
  <si>
    <t>DAY WEIGHT</t>
  </si>
  <si>
    <t>AFFECT ON MARKET BY %</t>
  </si>
  <si>
    <t>HDFC Bank</t>
  </si>
  <si>
    <t>ICICI Bank</t>
  </si>
  <si>
    <t>Axis Bank</t>
  </si>
  <si>
    <t>Kotak Mah. Bank</t>
  </si>
  <si>
    <t>IndusInd Bank</t>
  </si>
  <si>
    <t>Federal Bank</t>
  </si>
  <si>
    <t>Yes Bank</t>
  </si>
  <si>
    <t>IDFC First Bank</t>
  </si>
  <si>
    <t>Bandhan Bank</t>
  </si>
  <si>
    <t>RBL Bank</t>
  </si>
  <si>
    <t>SHARE PRICE(closing)</t>
  </si>
  <si>
    <t>NIFTY PRIVATE BANK</t>
  </si>
  <si>
    <t>P/E</t>
  </si>
  <si>
    <t>PRICE /EPS</t>
  </si>
  <si>
    <t>EPS</t>
  </si>
  <si>
    <t xml:space="preserve">PAT/NO.OF SHARES </t>
  </si>
  <si>
    <t>AVERAGE</t>
  </si>
  <si>
    <t>(REMOVED 80 AS OUTLIER)</t>
  </si>
  <si>
    <t>UNDERAVERAGE</t>
  </si>
  <si>
    <t>OVER AVERAGE</t>
  </si>
  <si>
    <t>PEG</t>
  </si>
  <si>
    <t>peg</t>
  </si>
  <si>
    <t>p/e/g</t>
  </si>
  <si>
    <t xml:space="preserve">g= earning growth rate </t>
  </si>
  <si>
    <t>revenue 2025</t>
  </si>
  <si>
    <t>profit 2025</t>
  </si>
  <si>
    <t>revenue 2024</t>
  </si>
  <si>
    <t>profit 2024</t>
  </si>
  <si>
    <t>change</t>
  </si>
  <si>
    <t>select</t>
  </si>
  <si>
    <t>result</t>
  </si>
  <si>
    <t xml:space="preserve">value pick </t>
  </si>
  <si>
    <t>value pick</t>
  </si>
  <si>
    <t xml:space="preserve">don’t put when boh are negative </t>
  </si>
  <si>
    <t>reject</t>
  </si>
  <si>
    <t>no growth pick</t>
  </si>
  <si>
    <t xml:space="preserve">value+growth pic </t>
  </si>
  <si>
    <t>ranking</t>
  </si>
  <si>
    <t>NIM</t>
  </si>
  <si>
    <t>CAR</t>
  </si>
  <si>
    <t>COST TO INCOME</t>
  </si>
  <si>
    <t>PCR</t>
  </si>
  <si>
    <t>CASA</t>
  </si>
  <si>
    <t>today close</t>
  </si>
  <si>
    <t>13/5/2026</t>
  </si>
  <si>
    <t>total ranking</t>
  </si>
  <si>
    <t xml:space="preserve">rank </t>
  </si>
  <si>
    <t xml:space="preserve">method 1 where </t>
  </si>
  <si>
    <t>14/5/2026</t>
  </si>
  <si>
    <t>15/5/2026</t>
  </si>
  <si>
    <t>share price</t>
  </si>
  <si>
    <t>no of shares</t>
  </si>
  <si>
    <t>aum</t>
  </si>
  <si>
    <t>nav</t>
  </si>
  <si>
    <t>Rank</t>
  </si>
  <si>
    <t>Asset Allocation</t>
  </si>
  <si>
    <t>NAV</t>
  </si>
  <si>
    <t xml:space="preserve">nav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</si>
</sst>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22222F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theme="10"/>
      <name val="Aptos Display"/>
      <family val="2"/>
      <scheme val="major"/>
    </font>
    <font>
      <b/>
      <sz val="11"/>
      <color rgb="FF00B050"/>
      <name val="Aptos Display"/>
      <family val="2"/>
      <scheme val="major"/>
    </font>
    <font>
      <b/>
      <sz val="11"/>
      <color theme="4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rgb="FF212529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22222F"/>
      <name val="Arial"/>
      <family val="2"/>
    </font>
    <font>
      <sz val="11"/>
      <color theme="4"/>
      <name val="Aptos Narrow"/>
      <family val="2"/>
      <scheme val="minor"/>
    </font>
    <font>
      <b/>
      <sz val="11"/>
      <color theme="9"/>
      <name val="Aptos Display"/>
      <family val="2"/>
      <scheme val="major"/>
    </font>
    <font>
      <b/>
      <sz val="11"/>
      <color theme="9"/>
      <name val="Aptos Narrow"/>
      <family val="2"/>
      <scheme val="minor"/>
    </font>
    <font>
      <b/>
      <sz val="11"/>
      <color theme="9"/>
      <name val="Arial"/>
      <family val="2"/>
    </font>
    <font>
      <sz val="11"/>
      <color rgb="FF22222F"/>
      <name val="Arial"/>
      <family val="2"/>
    </font>
    <font>
      <b/>
      <sz val="11"/>
      <name val="Aptos Narrow"/>
      <family val="2"/>
      <scheme val="minor"/>
    </font>
    <font>
      <sz val="7"/>
      <color rgb="FF000000"/>
      <name val="Arial"/>
      <family val="2"/>
    </font>
    <font>
      <sz val="11"/>
      <color rgb="FF000000"/>
      <name val="Aptos Display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49">
    <xf numFmtId="0" fontId="0" fillId="0" borderId="0" xfId="0"/>
    <xf numFmtId="0" fontId="4" fillId="4" borderId="0" xfId="0" applyFont="1" applyFill="1" applyAlignment="1">
      <alignment horizontal="right" vertical="center" wrapText="1"/>
    </xf>
    <xf numFmtId="0" fontId="5" fillId="0" borderId="0" xfId="0" applyFont="1"/>
    <xf numFmtId="4" fontId="5" fillId="0" borderId="0" xfId="0" applyNumberFormat="1" applyFont="1"/>
    <xf numFmtId="0" fontId="5" fillId="4" borderId="0" xfId="0" applyFont="1" applyFill="1" applyAlignment="1">
      <alignment horizontal="right" vertical="center" wrapText="1"/>
    </xf>
    <xf numFmtId="9" fontId="0" fillId="0" borderId="0" xfId="1" applyFont="1"/>
    <xf numFmtId="10" fontId="0" fillId="0" borderId="0" xfId="0" applyNumberFormat="1"/>
    <xf numFmtId="0" fontId="6" fillId="4" borderId="0" xfId="2" applyFont="1" applyFill="1" applyAlignment="1">
      <alignment horizontal="left" vertical="center"/>
    </xf>
    <xf numFmtId="0" fontId="7" fillId="0" borderId="0" xfId="0" applyFont="1"/>
    <xf numFmtId="0" fontId="8" fillId="0" borderId="0" xfId="0" applyFont="1"/>
    <xf numFmtId="4" fontId="9" fillId="0" borderId="0" xfId="0" applyNumberFormat="1" applyFont="1"/>
    <xf numFmtId="4" fontId="10" fillId="0" borderId="0" xfId="0" applyNumberFormat="1" applyFont="1"/>
    <xf numFmtId="0" fontId="12" fillId="4" borderId="0" xfId="0" applyFont="1" applyFill="1" applyAlignment="1">
      <alignment horizontal="right" vertical="center" wrapText="1"/>
    </xf>
    <xf numFmtId="0" fontId="13" fillId="0" borderId="0" xfId="0" applyFont="1"/>
    <xf numFmtId="0" fontId="2" fillId="3" borderId="1" xfId="0" applyFont="1" applyFill="1" applyBorder="1" applyAlignment="1">
      <alignment horizontal="center" vertical="center"/>
    </xf>
    <xf numFmtId="0" fontId="14" fillId="4" borderId="0" xfId="2" applyFont="1" applyFill="1" applyAlignment="1">
      <alignment horizontal="left" vertical="center"/>
    </xf>
    <xf numFmtId="0" fontId="15" fillId="0" borderId="0" xfId="0" applyFont="1"/>
    <xf numFmtId="0" fontId="16" fillId="5" borderId="0" xfId="0" applyFont="1" applyFill="1" applyAlignment="1">
      <alignment horizontal="right" vertical="center" wrapText="1"/>
    </xf>
    <xf numFmtId="0" fontId="11" fillId="0" borderId="0" xfId="0" applyFont="1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6" fillId="4" borderId="1" xfId="2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right" vertical="center" wrapText="1"/>
    </xf>
    <xf numFmtId="0" fontId="12" fillId="4" borderId="1" xfId="0" applyFont="1" applyFill="1" applyBorder="1" applyAlignment="1">
      <alignment horizontal="right" vertical="center" wrapText="1"/>
    </xf>
    <xf numFmtId="3" fontId="12" fillId="6" borderId="1" xfId="0" applyNumberFormat="1" applyFont="1" applyFill="1" applyBorder="1" applyAlignment="1">
      <alignment horizontal="right" vertical="center" wrapText="1"/>
    </xf>
    <xf numFmtId="3" fontId="17" fillId="5" borderId="1" xfId="0" applyNumberFormat="1" applyFont="1" applyFill="1" applyBorder="1" applyAlignment="1">
      <alignment horizontal="right" vertical="center" wrapText="1"/>
    </xf>
    <xf numFmtId="0" fontId="0" fillId="0" borderId="1" xfId="0" applyBorder="1"/>
    <xf numFmtId="0" fontId="17" fillId="5" borderId="1" xfId="0" applyFont="1" applyFill="1" applyBorder="1" applyAlignment="1">
      <alignment horizontal="right" vertical="center" wrapText="1"/>
    </xf>
    <xf numFmtId="0" fontId="17" fillId="5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horizontal="center" vertical="center"/>
    </xf>
    <xf numFmtId="4" fontId="0" fillId="0" borderId="0" xfId="0" applyNumberFormat="1"/>
    <xf numFmtId="0" fontId="18" fillId="7" borderId="2" xfId="0" applyFont="1" applyFill="1" applyBorder="1" applyAlignment="1">
      <alignment horizontal="center" vertical="center"/>
    </xf>
    <xf numFmtId="14" fontId="11" fillId="7" borderId="0" xfId="0" applyNumberFormat="1" applyFont="1" applyFill="1"/>
    <xf numFmtId="10" fontId="0" fillId="0" borderId="1" xfId="0" applyNumberFormat="1" applyBorder="1"/>
    <xf numFmtId="9" fontId="0" fillId="0" borderId="1" xfId="0" applyNumberFormat="1" applyBorder="1"/>
    <xf numFmtId="4" fontId="11" fillId="0" borderId="0" xfId="0" applyNumberFormat="1" applyFont="1"/>
    <xf numFmtId="0" fontId="2" fillId="8" borderId="1" xfId="0" applyFont="1" applyFill="1" applyBorder="1" applyAlignment="1">
      <alignment horizontal="center" vertical="center"/>
    </xf>
    <xf numFmtId="0" fontId="19" fillId="0" borderId="0" xfId="0" applyFont="1"/>
    <xf numFmtId="4" fontId="19" fillId="0" borderId="0" xfId="0" applyNumberFormat="1" applyFont="1"/>
    <xf numFmtId="15" fontId="0" fillId="0" borderId="0" xfId="0" applyNumberFormat="1"/>
    <xf numFmtId="0" fontId="20" fillId="5" borderId="4" xfId="0" applyFont="1" applyFill="1" applyBorder="1" applyAlignment="1">
      <alignment vertical="center" wrapText="1"/>
    </xf>
    <xf numFmtId="0" fontId="20" fillId="0" borderId="0" xfId="0" applyFont="1"/>
    <xf numFmtId="4" fontId="20" fillId="0" borderId="0" xfId="0" applyNumberFormat="1" applyFont="1"/>
    <xf numFmtId="0" fontId="0" fillId="0" borderId="0" xfId="0" applyAlignment="1">
      <alignment vertical="center" wrapText="1"/>
    </xf>
    <xf numFmtId="0" fontId="0" fillId="9" borderId="0" xfId="0" applyFill="1"/>
    <xf numFmtId="0" fontId="2" fillId="3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1FABA-46A8-41A6-A684-56F4DFF46ECF}">
  <dimension ref="A1:L66"/>
  <sheetViews>
    <sheetView showGridLines="0" zoomScale="57" workbookViewId="0">
      <selection activeCell="K26" sqref="K26"/>
    </sheetView>
  </sheetViews>
  <sheetFormatPr defaultRowHeight="14.5" x14ac:dyDescent="0.35"/>
  <cols>
    <col min="1" max="1" width="15.54296875" bestFit="1" customWidth="1"/>
    <col min="2" max="2" width="12.1796875" bestFit="1" customWidth="1"/>
    <col min="3" max="3" width="20.26953125" bestFit="1" customWidth="1"/>
    <col min="4" max="4" width="12.7265625" bestFit="1" customWidth="1"/>
    <col min="5" max="5" width="9.7265625" bestFit="1" customWidth="1"/>
    <col min="6" max="6" width="19.54296875" customWidth="1"/>
    <col min="7" max="7" width="26.453125" customWidth="1"/>
    <col min="8" max="8" width="11.6328125" bestFit="1" customWidth="1"/>
    <col min="11" max="11" width="17.54296875" bestFit="1" customWidth="1"/>
    <col min="12" max="12" width="17.7265625" bestFit="1" customWidth="1"/>
  </cols>
  <sheetData>
    <row r="1" spans="1:12" x14ac:dyDescent="0.35">
      <c r="A1" s="48" t="s">
        <v>0</v>
      </c>
      <c r="B1" s="48"/>
      <c r="C1" s="48"/>
      <c r="D1" s="48"/>
      <c r="E1" s="48"/>
      <c r="F1" s="48"/>
      <c r="G1" s="48"/>
    </row>
    <row r="2" spans="1:12" x14ac:dyDescent="0.35">
      <c r="A2" s="14" t="s">
        <v>1</v>
      </c>
      <c r="B2" s="14" t="s">
        <v>2</v>
      </c>
      <c r="C2" s="14" t="s">
        <v>17</v>
      </c>
      <c r="D2" s="14" t="s">
        <v>3</v>
      </c>
      <c r="E2" s="14" t="s">
        <v>4</v>
      </c>
      <c r="F2" s="14" t="s">
        <v>5</v>
      </c>
      <c r="G2" s="14" t="s">
        <v>6</v>
      </c>
      <c r="H2" s="20"/>
      <c r="K2" s="9" t="s">
        <v>18</v>
      </c>
      <c r="L2" s="11">
        <v>1000</v>
      </c>
    </row>
    <row r="3" spans="1:12" x14ac:dyDescent="0.35">
      <c r="A3" s="7" t="s">
        <v>7</v>
      </c>
      <c r="B3" s="1">
        <v>1188073.51</v>
      </c>
      <c r="C3" s="2">
        <v>779</v>
      </c>
      <c r="D3" s="1">
        <v>771.7</v>
      </c>
      <c r="E3" s="5">
        <f>(D3-C3)/C3</f>
        <v>-9.3709884467265137E-3</v>
      </c>
      <c r="F3" s="5">
        <f>B3/$B$13</f>
        <v>0.37283830904802412</v>
      </c>
      <c r="G3">
        <f>E3*F3</f>
        <v>-3.4938634865860833E-3</v>
      </c>
      <c r="L3">
        <f>G3*$L$2</f>
        <v>-3.4938634865860831</v>
      </c>
    </row>
    <row r="4" spans="1:12" x14ac:dyDescent="0.35">
      <c r="A4" s="7" t="s">
        <v>8</v>
      </c>
      <c r="B4" s="1">
        <v>905446.62</v>
      </c>
      <c r="C4" s="3">
        <v>1281</v>
      </c>
      <c r="D4" s="1">
        <v>1263.4000000000001</v>
      </c>
      <c r="E4" s="5">
        <f>(D4-C4)/C4</f>
        <v>-1.3739266198282521E-2</v>
      </c>
      <c r="F4" s="5">
        <f t="shared" ref="F4:F12" si="0">B4/$B$13</f>
        <v>0.28414503302413407</v>
      </c>
      <c r="G4">
        <f t="shared" ref="G4:G12" si="1">E4*F4</f>
        <v>-3.9039442476383559E-3</v>
      </c>
      <c r="L4">
        <f t="shared" ref="L4:L8" si="2">G4*$L$2</f>
        <v>-3.9039442476383561</v>
      </c>
    </row>
    <row r="5" spans="1:12" x14ac:dyDescent="0.35">
      <c r="A5" s="7" t="s">
        <v>9</v>
      </c>
      <c r="B5" s="1">
        <v>394264.94</v>
      </c>
      <c r="C5" s="3">
        <v>1296.4000000000001</v>
      </c>
      <c r="D5" s="1">
        <v>1268.3</v>
      </c>
      <c r="E5" s="5">
        <f t="shared" ref="E5:E12" si="3">(D5-C5)/C5</f>
        <v>-2.1675408824437005E-2</v>
      </c>
      <c r="F5" s="5">
        <f t="shared" si="0"/>
        <v>0.12372725450845268</v>
      </c>
      <c r="G5">
        <f t="shared" si="1"/>
        <v>-2.6818388241958784E-3</v>
      </c>
      <c r="L5">
        <f t="shared" si="2"/>
        <v>-2.6818388241958786</v>
      </c>
    </row>
    <row r="6" spans="1:12" x14ac:dyDescent="0.35">
      <c r="A6" s="7" t="s">
        <v>10</v>
      </c>
      <c r="B6" s="1">
        <v>381248</v>
      </c>
      <c r="C6" s="2">
        <v>382</v>
      </c>
      <c r="D6" s="1">
        <v>383.3</v>
      </c>
      <c r="E6" s="5">
        <f t="shared" si="3"/>
        <v>3.4031413612565743E-3</v>
      </c>
      <c r="F6" s="5">
        <f t="shared" si="0"/>
        <v>0.11964231038864009</v>
      </c>
      <c r="G6">
        <f t="shared" si="1"/>
        <v>4.0715969503987823E-4</v>
      </c>
      <c r="L6">
        <f t="shared" si="2"/>
        <v>0.4071596950398782</v>
      </c>
    </row>
    <row r="7" spans="1:12" x14ac:dyDescent="0.35">
      <c r="A7" s="7" t="s">
        <v>11</v>
      </c>
      <c r="B7" s="1">
        <v>71370.009999999995</v>
      </c>
      <c r="C7" s="2">
        <v>913.75</v>
      </c>
      <c r="D7" s="1">
        <v>916.05</v>
      </c>
      <c r="E7" s="5">
        <f t="shared" si="3"/>
        <v>2.5170998632010446E-3</v>
      </c>
      <c r="F7" s="5">
        <f t="shared" si="0"/>
        <v>2.2397161136216707E-2</v>
      </c>
      <c r="G7">
        <f t="shared" si="1"/>
        <v>5.6375891232062822E-5</v>
      </c>
      <c r="L7">
        <f t="shared" si="2"/>
        <v>5.6375891232062825E-2</v>
      </c>
    </row>
    <row r="8" spans="1:12" x14ac:dyDescent="0.35">
      <c r="A8" s="7" t="s">
        <v>12</v>
      </c>
      <c r="B8" s="1">
        <v>70725.86</v>
      </c>
      <c r="C8" s="2">
        <v>284.75</v>
      </c>
      <c r="D8" s="1">
        <v>286.95</v>
      </c>
      <c r="E8" s="5">
        <f t="shared" si="3"/>
        <v>7.7260755048287576E-3</v>
      </c>
      <c r="F8" s="5">
        <f t="shared" si="0"/>
        <v>2.2195015566307246E-2</v>
      </c>
      <c r="G8">
        <f t="shared" si="1"/>
        <v>1.7148036609613938E-4</v>
      </c>
      <c r="L8">
        <f t="shared" si="2"/>
        <v>0.1714803660961394</v>
      </c>
    </row>
    <row r="9" spans="1:12" x14ac:dyDescent="0.35">
      <c r="A9" s="7" t="s">
        <v>13</v>
      </c>
      <c r="B9" s="1">
        <v>62541.22</v>
      </c>
      <c r="C9" s="2">
        <v>19.989999999999998</v>
      </c>
      <c r="D9" s="1">
        <v>19.93</v>
      </c>
      <c r="E9" s="5">
        <f t="shared" si="3"/>
        <v>-3.0015007503751238E-3</v>
      </c>
      <c r="F9" s="5">
        <f t="shared" si="0"/>
        <v>1.9626531956427905E-2</v>
      </c>
      <c r="G9">
        <f t="shared" si="1"/>
        <v>-5.8909050394479701E-5</v>
      </c>
      <c r="L9">
        <f>G9*$L$2</f>
        <v>-5.8909050394479703E-2</v>
      </c>
    </row>
    <row r="10" spans="1:12" x14ac:dyDescent="0.35">
      <c r="A10" s="7" t="s">
        <v>14</v>
      </c>
      <c r="B10" s="1">
        <v>59909.98</v>
      </c>
      <c r="C10" s="4">
        <v>69.67</v>
      </c>
      <c r="D10" s="1">
        <v>69.64</v>
      </c>
      <c r="E10" s="5">
        <f t="shared" si="3"/>
        <v>-4.3060140663127799E-4</v>
      </c>
      <c r="F10" s="5">
        <f t="shared" si="0"/>
        <v>1.8800802686275653E-2</v>
      </c>
      <c r="G10">
        <f t="shared" si="1"/>
        <v>-8.0956520825074056E-6</v>
      </c>
      <c r="L10">
        <f>G10*$L$2</f>
        <v>-8.0956520825074055E-3</v>
      </c>
    </row>
    <row r="11" spans="1:12" x14ac:dyDescent="0.35">
      <c r="A11" s="7" t="s">
        <v>15</v>
      </c>
      <c r="B11" s="1">
        <v>32174.46</v>
      </c>
      <c r="C11" s="4">
        <v>201</v>
      </c>
      <c r="D11" s="1">
        <v>199.72</v>
      </c>
      <c r="E11" s="5">
        <f t="shared" si="3"/>
        <v>-6.3681592039801053E-3</v>
      </c>
      <c r="F11" s="5">
        <f t="shared" si="0"/>
        <v>1.0096909963873607E-2</v>
      </c>
      <c r="G11">
        <f t="shared" si="1"/>
        <v>-6.4298730118200138E-5</v>
      </c>
      <c r="L11">
        <f>G11*$L$2</f>
        <v>-6.4298730118200143E-2</v>
      </c>
    </row>
    <row r="12" spans="1:12" x14ac:dyDescent="0.35">
      <c r="A12" s="7" t="s">
        <v>16</v>
      </c>
      <c r="B12" s="1">
        <v>20810.41</v>
      </c>
      <c r="C12" s="4">
        <v>337.9</v>
      </c>
      <c r="D12" s="1">
        <v>336.55</v>
      </c>
      <c r="E12" s="5">
        <f t="shared" si="3"/>
        <v>-3.9952648712635866E-3</v>
      </c>
      <c r="F12" s="5">
        <f t="shared" si="0"/>
        <v>6.5306717216480079E-3</v>
      </c>
      <c r="G12">
        <f t="shared" si="1"/>
        <v>-2.6091763315254772E-5</v>
      </c>
      <c r="L12">
        <f>G12*$L$2</f>
        <v>-2.6091763315254771E-2</v>
      </c>
    </row>
    <row r="13" spans="1:12" x14ac:dyDescent="0.35">
      <c r="A13" s="2"/>
      <c r="B13" s="8">
        <f>SUM(B3:B12)</f>
        <v>3186565.01</v>
      </c>
      <c r="C13" s="2"/>
      <c r="G13" s="6"/>
      <c r="I13" s="32"/>
      <c r="L13" s="10">
        <f>SUM(L2:L12)</f>
        <v>990.39797419803733</v>
      </c>
    </row>
    <row r="15" spans="1:12" x14ac:dyDescent="0.35">
      <c r="A15" s="14" t="s">
        <v>1</v>
      </c>
      <c r="B15" s="14" t="s">
        <v>2</v>
      </c>
      <c r="C15" s="14" t="s">
        <v>17</v>
      </c>
      <c r="D15" s="14" t="s">
        <v>50</v>
      </c>
      <c r="E15" s="14" t="s">
        <v>4</v>
      </c>
      <c r="F15" s="14" t="s">
        <v>5</v>
      </c>
      <c r="G15" s="14" t="s">
        <v>6</v>
      </c>
      <c r="H15" s="34">
        <v>46361</v>
      </c>
      <c r="K15" s="9" t="s">
        <v>18</v>
      </c>
      <c r="L15" s="11">
        <f>L13</f>
        <v>990.39797419803733</v>
      </c>
    </row>
    <row r="16" spans="1:12" x14ac:dyDescent="0.35">
      <c r="A16" s="7" t="s">
        <v>7</v>
      </c>
      <c r="B16" s="1">
        <v>1162362.96</v>
      </c>
      <c r="C16" s="2">
        <v>763.65</v>
      </c>
      <c r="D16" s="1">
        <v>750.45</v>
      </c>
      <c r="E16" s="5">
        <f>(D16-C16)/C16</f>
        <v>-1.7285405617756738E-2</v>
      </c>
      <c r="F16" s="5">
        <f>B16/$B$26</f>
        <v>0.37005345195134182</v>
      </c>
      <c r="G16">
        <f>E16*F16</f>
        <v>-6.3965240172299967E-3</v>
      </c>
      <c r="L16">
        <f>$L$15*G16</f>
        <v>-6.3351044285736808</v>
      </c>
    </row>
    <row r="17" spans="1:12" x14ac:dyDescent="0.35">
      <c r="A17" s="7" t="s">
        <v>8</v>
      </c>
      <c r="B17" s="1">
        <v>892131.5</v>
      </c>
      <c r="C17" s="3">
        <v>1266.4000000000001</v>
      </c>
      <c r="D17" s="1">
        <v>1240.3</v>
      </c>
      <c r="E17" s="5">
        <f t="shared" ref="E17:E25" si="4">(D17-C17)/C17</f>
        <v>-2.0609602021478313E-2</v>
      </c>
      <c r="F17" s="5">
        <f>B17/$B$26</f>
        <v>0.28402173204962461</v>
      </c>
      <c r="G17">
        <f t="shared" ref="G17:G25" si="5">E17*F17</f>
        <v>-5.853574862993715E-3</v>
      </c>
      <c r="L17">
        <f t="shared" ref="L17:L25" si="6">$L$15*G17</f>
        <v>-5.7973686861255294</v>
      </c>
    </row>
    <row r="18" spans="1:12" x14ac:dyDescent="0.35">
      <c r="A18" s="7" t="s">
        <v>9</v>
      </c>
      <c r="B18" s="1">
        <v>392817.67</v>
      </c>
      <c r="C18" s="3">
        <v>1272.3</v>
      </c>
      <c r="D18" s="1">
        <v>1260.0999999999999</v>
      </c>
      <c r="E18" s="5">
        <f t="shared" si="4"/>
        <v>-9.5889334276507473E-3</v>
      </c>
      <c r="F18" s="5">
        <f t="shared" ref="F18:F25" si="7">B18/$B$26</f>
        <v>0.12505864327523225</v>
      </c>
      <c r="G18">
        <f t="shared" si="5"/>
        <v>-1.1991790049185249E-3</v>
      </c>
      <c r="L18">
        <f t="shared" si="6"/>
        <v>-1.1876644571721253</v>
      </c>
    </row>
    <row r="19" spans="1:12" x14ac:dyDescent="0.35">
      <c r="A19" s="7" t="s">
        <v>10</v>
      </c>
      <c r="B19" s="1">
        <v>373987.08</v>
      </c>
      <c r="C19" s="2">
        <v>381.05</v>
      </c>
      <c r="D19" s="1">
        <v>376</v>
      </c>
      <c r="E19" s="5">
        <f t="shared" si="4"/>
        <v>-1.325285395617376E-2</v>
      </c>
      <c r="F19" s="5">
        <f t="shared" si="7"/>
        <v>0.11906367864578431</v>
      </c>
      <c r="G19">
        <f t="shared" si="5"/>
        <v>-1.5779335445773837E-3</v>
      </c>
      <c r="L19">
        <f t="shared" si="6"/>
        <v>-1.5627821859685693</v>
      </c>
    </row>
    <row r="20" spans="1:12" x14ac:dyDescent="0.35">
      <c r="A20" s="7" t="s">
        <v>11</v>
      </c>
      <c r="B20" s="1">
        <v>69777.179999999993</v>
      </c>
      <c r="C20" s="2">
        <v>922.3</v>
      </c>
      <c r="D20" s="1">
        <v>892.85</v>
      </c>
      <c r="E20" s="5">
        <f t="shared" si="4"/>
        <v>-3.1931041960316528E-2</v>
      </c>
      <c r="F20" s="5">
        <f t="shared" si="7"/>
        <v>2.2214477934181701E-2</v>
      </c>
      <c r="G20">
        <f t="shared" si="5"/>
        <v>-7.0933142704288153E-4</v>
      </c>
      <c r="L20">
        <f t="shared" si="6"/>
        <v>-0.70252040837827279</v>
      </c>
    </row>
    <row r="21" spans="1:12" x14ac:dyDescent="0.35">
      <c r="A21" s="7" t="s">
        <v>12</v>
      </c>
      <c r="B21" s="1">
        <v>70272.05</v>
      </c>
      <c r="C21" s="2">
        <v>292.45</v>
      </c>
      <c r="D21" s="1">
        <v>284.8</v>
      </c>
      <c r="E21" s="5">
        <f t="shared" si="4"/>
        <v>-2.6158317661138578E-2</v>
      </c>
      <c r="F21" s="5">
        <f t="shared" si="7"/>
        <v>2.2372026271550577E-2</v>
      </c>
      <c r="G21">
        <f t="shared" si="5"/>
        <v>-5.8521456993455769E-4</v>
      </c>
      <c r="L21">
        <f t="shared" si="6"/>
        <v>-0.57959532453436158</v>
      </c>
    </row>
    <row r="22" spans="1:12" x14ac:dyDescent="0.35">
      <c r="A22" s="7" t="s">
        <v>13</v>
      </c>
      <c r="B22" s="1">
        <v>69507.67</v>
      </c>
      <c r="C22" s="2">
        <v>22.7</v>
      </c>
      <c r="D22" s="1">
        <v>22.06</v>
      </c>
      <c r="E22" s="5">
        <f t="shared" si="4"/>
        <v>-2.8193832599118968E-2</v>
      </c>
      <c r="F22" s="5">
        <f t="shared" si="7"/>
        <v>2.2128675900507638E-2</v>
      </c>
      <c r="G22">
        <f t="shared" si="5"/>
        <v>-6.238921839790705E-4</v>
      </c>
      <c r="L22">
        <f t="shared" si="6"/>
        <v>-0.61790155513086065</v>
      </c>
    </row>
    <row r="23" spans="1:12" x14ac:dyDescent="0.35">
      <c r="A23" s="7" t="s">
        <v>14</v>
      </c>
      <c r="B23" s="1">
        <v>58372.98</v>
      </c>
      <c r="C23" s="4">
        <v>69.22</v>
      </c>
      <c r="D23" s="1">
        <v>67.680000000000007</v>
      </c>
      <c r="E23" s="5">
        <f t="shared" si="4"/>
        <v>-2.2247905229702283E-2</v>
      </c>
      <c r="F23" s="5">
        <f t="shared" si="7"/>
        <v>1.8583801697953831E-2</v>
      </c>
      <c r="G23">
        <f t="shared" si="5"/>
        <v>-4.1345065898365719E-4</v>
      </c>
      <c r="L23">
        <f t="shared" si="6"/>
        <v>-0.40948069508825763</v>
      </c>
    </row>
    <row r="24" spans="1:12" x14ac:dyDescent="0.35">
      <c r="A24" s="7" t="s">
        <v>15</v>
      </c>
      <c r="B24" s="1">
        <v>31658.95</v>
      </c>
      <c r="C24" s="4">
        <v>201.23</v>
      </c>
      <c r="D24" s="1">
        <v>196.07</v>
      </c>
      <c r="E24" s="5">
        <f t="shared" si="4"/>
        <v>-2.5642299855886282E-2</v>
      </c>
      <c r="F24" s="5">
        <f t="shared" si="7"/>
        <v>1.0079040829600192E-2</v>
      </c>
      <c r="G24">
        <f t="shared" si="5"/>
        <v>-2.5844978721232897E-4</v>
      </c>
      <c r="L24">
        <f t="shared" si="6"/>
        <v>-0.25596814568700443</v>
      </c>
    </row>
    <row r="25" spans="1:12" x14ac:dyDescent="0.35">
      <c r="A25" s="7" t="s">
        <v>16</v>
      </c>
      <c r="B25" s="1">
        <v>20179.7</v>
      </c>
      <c r="C25" s="4">
        <v>337.5</v>
      </c>
      <c r="D25" s="1">
        <v>325.25</v>
      </c>
      <c r="E25" s="5">
        <f t="shared" si="4"/>
        <v>-3.6296296296296299E-2</v>
      </c>
      <c r="F25" s="5">
        <f t="shared" si="7"/>
        <v>6.4244714442229763E-3</v>
      </c>
      <c r="G25">
        <f t="shared" si="5"/>
        <v>-2.3318451908661174E-4</v>
      </c>
      <c r="L25">
        <f t="shared" si="6"/>
        <v>-0.23094547531772383</v>
      </c>
    </row>
    <row r="26" spans="1:12" x14ac:dyDescent="0.35">
      <c r="A26" s="2"/>
      <c r="B26" s="8">
        <f>SUM(B16:B25)</f>
        <v>3141067.74</v>
      </c>
      <c r="C26" s="2"/>
      <c r="G26" s="6"/>
      <c r="L26" s="32">
        <f>SUM(L15:L25)</f>
        <v>972.71864283606089</v>
      </c>
    </row>
    <row r="27" spans="1:12" x14ac:dyDescent="0.35">
      <c r="H27" s="32"/>
    </row>
    <row r="29" spans="1:12" x14ac:dyDescent="0.35">
      <c r="A29" s="14" t="s">
        <v>1</v>
      </c>
      <c r="B29" s="14" t="s">
        <v>2</v>
      </c>
      <c r="C29" s="14" t="s">
        <v>17</v>
      </c>
      <c r="D29" s="14" t="s">
        <v>50</v>
      </c>
      <c r="E29" s="14" t="s">
        <v>4</v>
      </c>
      <c r="F29" s="14" t="s">
        <v>5</v>
      </c>
      <c r="G29" s="14" t="s">
        <v>6</v>
      </c>
      <c r="H29" s="33" t="s">
        <v>51</v>
      </c>
      <c r="K29" s="9" t="s">
        <v>18</v>
      </c>
      <c r="L29" s="11">
        <f>L26</f>
        <v>972.71864283606089</v>
      </c>
    </row>
    <row r="30" spans="1:12" x14ac:dyDescent="0.35">
      <c r="A30" s="7" t="s">
        <v>7</v>
      </c>
      <c r="B30" s="1">
        <v>1153356.57</v>
      </c>
      <c r="C30" s="2">
        <v>750.45</v>
      </c>
      <c r="D30" s="1">
        <v>749.6</v>
      </c>
      <c r="E30" s="5">
        <f>(D30-C30)/C30</f>
        <v>-1.1326537410887103E-3</v>
      </c>
      <c r="F30" s="5">
        <f>B30/$B$40</f>
        <v>0.36908513007315041</v>
      </c>
      <c r="G30">
        <f>E30*F30</f>
        <v>-4.1804565335756708E-4</v>
      </c>
      <c r="L30">
        <f>G30*$L$29</f>
        <v>-0.40664080057748703</v>
      </c>
    </row>
    <row r="31" spans="1:12" x14ac:dyDescent="0.35">
      <c r="A31" s="7" t="s">
        <v>8</v>
      </c>
      <c r="B31" s="1">
        <v>886109.88</v>
      </c>
      <c r="C31" s="3">
        <v>1240.3</v>
      </c>
      <c r="D31" s="1">
        <v>1235.5999999999999</v>
      </c>
      <c r="E31" s="5">
        <f t="shared" ref="E31:E39" si="8">(D31-C31)/C31</f>
        <v>-3.7894057889220718E-3</v>
      </c>
      <c r="F31" s="5">
        <f t="shared" ref="F31:F39" si="9">B31/$B$40</f>
        <v>0.28356363402768292</v>
      </c>
      <c r="G31">
        <f t="shared" ref="G31:G39" si="10">E31*F31</f>
        <v>-1.0745376763122815E-3</v>
      </c>
      <c r="L31">
        <f t="shared" ref="L31:L39" si="11">G31*$L$29</f>
        <v>-1.045222830178697</v>
      </c>
    </row>
    <row r="32" spans="1:12" x14ac:dyDescent="0.35">
      <c r="A32" s="7" t="s">
        <v>9</v>
      </c>
      <c r="B32" s="1">
        <v>390237.23</v>
      </c>
      <c r="C32" s="3">
        <v>1260.0999999999999</v>
      </c>
      <c r="D32" s="1">
        <v>1255.7</v>
      </c>
      <c r="E32" s="5">
        <f t="shared" si="8"/>
        <v>-3.4917863661613076E-3</v>
      </c>
      <c r="F32" s="5">
        <f t="shared" si="9"/>
        <v>0.12487964480397931</v>
      </c>
      <c r="G32">
        <f t="shared" si="10"/>
        <v>-4.3605304113760173E-4</v>
      </c>
      <c r="L32">
        <f t="shared" si="11"/>
        <v>-0.42415692237990499</v>
      </c>
    </row>
    <row r="33" spans="1:12" x14ac:dyDescent="0.35">
      <c r="A33" s="7" t="s">
        <v>10</v>
      </c>
      <c r="B33" s="1">
        <v>376921.29</v>
      </c>
      <c r="C33" s="2">
        <v>376</v>
      </c>
      <c r="D33" s="1">
        <v>377.65</v>
      </c>
      <c r="E33" s="5">
        <f t="shared" si="8"/>
        <v>4.3882978723403651E-3</v>
      </c>
      <c r="F33" s="5">
        <f t="shared" si="9"/>
        <v>0.12061841668530109</v>
      </c>
      <c r="G33">
        <f t="shared" si="10"/>
        <v>5.2930954130517033E-4</v>
      </c>
      <c r="L33">
        <f t="shared" si="11"/>
        <v>0.51486925865854316</v>
      </c>
    </row>
    <row r="34" spans="1:12" x14ac:dyDescent="0.35">
      <c r="A34" s="7" t="s">
        <v>11</v>
      </c>
      <c r="B34" s="1">
        <v>69687.58</v>
      </c>
      <c r="C34" s="2">
        <v>892.85</v>
      </c>
      <c r="D34" s="1">
        <v>892.5</v>
      </c>
      <c r="E34" s="5">
        <f t="shared" si="8"/>
        <v>-3.9200313602511368E-4</v>
      </c>
      <c r="F34" s="5">
        <f t="shared" si="9"/>
        <v>2.2300691908993135E-2</v>
      </c>
      <c r="G34">
        <f t="shared" si="10"/>
        <v>-8.7419411638551886E-6</v>
      </c>
      <c r="L34">
        <f t="shared" si="11"/>
        <v>-8.5034491446579138E-3</v>
      </c>
    </row>
    <row r="35" spans="1:12" x14ac:dyDescent="0.35">
      <c r="A35" s="7" t="s">
        <v>12</v>
      </c>
      <c r="B35" s="1">
        <v>68977.34</v>
      </c>
      <c r="C35" s="2">
        <v>284.8</v>
      </c>
      <c r="D35" s="1">
        <v>280.05</v>
      </c>
      <c r="E35" s="5">
        <f t="shared" si="8"/>
        <v>-1.6678370786516853E-2</v>
      </c>
      <c r="F35" s="5">
        <f t="shared" si="9"/>
        <v>2.2073408318123093E-2</v>
      </c>
      <c r="G35">
        <f t="shared" si="10"/>
        <v>-3.6814848845184229E-4</v>
      </c>
      <c r="L35">
        <f t="shared" si="11"/>
        <v>-0.35810489804902329</v>
      </c>
    </row>
    <row r="36" spans="1:12" x14ac:dyDescent="0.35">
      <c r="A36" s="7" t="s">
        <v>13</v>
      </c>
      <c r="B36" s="1">
        <v>69413.53</v>
      </c>
      <c r="C36" s="2">
        <v>22.06</v>
      </c>
      <c r="D36" s="1">
        <v>22.11</v>
      </c>
      <c r="E36" s="5">
        <f t="shared" si="8"/>
        <v>2.2665457842248739E-3</v>
      </c>
      <c r="F36" s="5">
        <f t="shared" si="9"/>
        <v>2.2212993288698676E-2</v>
      </c>
      <c r="G36">
        <f t="shared" si="10"/>
        <v>5.0346766293515399E-5</v>
      </c>
      <c r="L36">
        <f t="shared" si="11"/>
        <v>4.8973238180212632E-2</v>
      </c>
    </row>
    <row r="37" spans="1:12" x14ac:dyDescent="0.35">
      <c r="A37" s="7" t="s">
        <v>14</v>
      </c>
      <c r="B37" s="1">
        <v>58708.71</v>
      </c>
      <c r="C37" s="4">
        <v>67.680000000000007</v>
      </c>
      <c r="D37" s="1">
        <v>68.3</v>
      </c>
      <c r="E37" s="5">
        <f t="shared" si="8"/>
        <v>9.1607565011818902E-3</v>
      </c>
      <c r="F37" s="5">
        <f t="shared" si="9"/>
        <v>1.8787348535914496E-2</v>
      </c>
      <c r="G37">
        <f t="shared" si="10"/>
        <v>1.7210632524034878E-4</v>
      </c>
      <c r="L37">
        <f t="shared" si="11"/>
        <v>0.16741103111129377</v>
      </c>
    </row>
    <row r="38" spans="1:12" x14ac:dyDescent="0.35">
      <c r="A38" s="7" t="s">
        <v>15</v>
      </c>
      <c r="B38" s="1">
        <v>31367.360000000001</v>
      </c>
      <c r="C38" s="4">
        <v>196.07</v>
      </c>
      <c r="D38" s="1">
        <v>194.88</v>
      </c>
      <c r="E38" s="5">
        <f t="shared" si="8"/>
        <v>-6.0692609782220519E-3</v>
      </c>
      <c r="F38" s="5">
        <f t="shared" si="9"/>
        <v>1.003785511505027E-2</v>
      </c>
      <c r="G38">
        <f t="shared" si="10"/>
        <v>-6.0922362354821228E-5</v>
      </c>
      <c r="L38">
        <f t="shared" si="11"/>
        <v>-5.9260317628148429E-2</v>
      </c>
    </row>
    <row r="39" spans="1:12" x14ac:dyDescent="0.35">
      <c r="A39" s="7" t="s">
        <v>16</v>
      </c>
      <c r="B39" s="1">
        <v>20127.14</v>
      </c>
      <c r="C39" s="4">
        <v>325.25</v>
      </c>
      <c r="D39" s="1">
        <v>325.75</v>
      </c>
      <c r="E39" s="5">
        <f t="shared" si="8"/>
        <v>1.5372790161414297E-3</v>
      </c>
      <c r="F39" s="5">
        <f t="shared" si="9"/>
        <v>6.4408772431066201E-3</v>
      </c>
      <c r="G39">
        <f t="shared" si="10"/>
        <v>9.9014254313706695E-6</v>
      </c>
      <c r="L39">
        <f t="shared" si="11"/>
        <v>9.6313011077453371E-3</v>
      </c>
    </row>
    <row r="40" spans="1:12" x14ac:dyDescent="0.35">
      <c r="A40" s="2"/>
      <c r="B40" s="8">
        <f>SUM(B30:B39)</f>
        <v>3124906.63</v>
      </c>
      <c r="C40" s="2"/>
      <c r="G40" s="6"/>
      <c r="I40" s="32"/>
      <c r="L40" s="32">
        <f>SUM(L29:L39)</f>
        <v>971.15763844716082</v>
      </c>
    </row>
    <row r="42" spans="1:12" x14ac:dyDescent="0.35">
      <c r="A42" s="14" t="s">
        <v>1</v>
      </c>
      <c r="B42" s="14" t="s">
        <v>2</v>
      </c>
      <c r="C42" s="14" t="s">
        <v>17</v>
      </c>
      <c r="D42" s="14" t="s">
        <v>50</v>
      </c>
      <c r="E42" s="14" t="s">
        <v>4</v>
      </c>
      <c r="F42" s="14" t="s">
        <v>5</v>
      </c>
      <c r="G42" s="14" t="s">
        <v>6</v>
      </c>
      <c r="H42" s="33" t="s">
        <v>55</v>
      </c>
      <c r="K42" s="9" t="s">
        <v>18</v>
      </c>
      <c r="L42" s="11">
        <f>L40</f>
        <v>971.15763844716082</v>
      </c>
    </row>
    <row r="43" spans="1:12" x14ac:dyDescent="0.35">
      <c r="A43" s="7" t="s">
        <v>7</v>
      </c>
      <c r="B43" s="1">
        <v>1185610.22</v>
      </c>
      <c r="C43" s="2">
        <v>749.6</v>
      </c>
      <c r="D43" s="1">
        <v>769.55</v>
      </c>
      <c r="E43" s="5">
        <f>(D43-C43)/C43</f>
        <v>2.6614194236926268E-2</v>
      </c>
      <c r="F43" s="5">
        <f>B43/$B$53</f>
        <v>0.37347298910288224</v>
      </c>
      <c r="G43">
        <f>E43*F43</f>
        <v>9.9396826742295559E-3</v>
      </c>
      <c r="L43">
        <f>G43*$L$42</f>
        <v>9.6529987528189363</v>
      </c>
    </row>
    <row r="44" spans="1:12" x14ac:dyDescent="0.35">
      <c r="A44" s="7" t="s">
        <v>8</v>
      </c>
      <c r="B44" s="1">
        <v>895253.18</v>
      </c>
      <c r="C44" s="3">
        <v>1235.5999999999999</v>
      </c>
      <c r="D44" s="1">
        <v>1246</v>
      </c>
      <c r="E44" s="5">
        <f t="shared" ref="E44:E52" si="12">(D44-C44)/C44</f>
        <v>8.416963418582139E-3</v>
      </c>
      <c r="F44" s="5">
        <f t="shared" ref="F44:F52" si="13">B44/$B$53</f>
        <v>0.28200910847281724</v>
      </c>
      <c r="G44">
        <f t="shared" ref="G44:G52" si="14">E44*F44</f>
        <v>2.373660349722665E-3</v>
      </c>
      <c r="L44">
        <f t="shared" ref="L44:L52" si="15">G44*$L$42</f>
        <v>2.305198379712325</v>
      </c>
    </row>
    <row r="45" spans="1:12" x14ac:dyDescent="0.35">
      <c r="A45" s="7" t="s">
        <v>9</v>
      </c>
      <c r="B45" s="1">
        <v>390206.14</v>
      </c>
      <c r="C45" s="3">
        <v>1255.7</v>
      </c>
      <c r="D45" s="1">
        <v>1254.5999999999999</v>
      </c>
      <c r="E45" s="5">
        <f t="shared" si="12"/>
        <v>-8.7600541530631236E-4</v>
      </c>
      <c r="F45" s="5">
        <f t="shared" si="13"/>
        <v>0.12291683304829959</v>
      </c>
      <c r="G45">
        <f t="shared" si="14"/>
        <v>-1.0767581138261234E-4</v>
      </c>
      <c r="L45">
        <f t="shared" si="15"/>
        <v>-0.10457018670021972</v>
      </c>
    </row>
    <row r="46" spans="1:12" x14ac:dyDescent="0.35">
      <c r="A46" s="7" t="s">
        <v>10</v>
      </c>
      <c r="B46" s="1">
        <v>381446.93</v>
      </c>
      <c r="C46" s="2">
        <v>377.65</v>
      </c>
      <c r="D46" s="1">
        <v>383.2</v>
      </c>
      <c r="E46" s="5">
        <f t="shared" si="12"/>
        <v>1.4696147226267739E-2</v>
      </c>
      <c r="F46" s="5">
        <f t="shared" si="13"/>
        <v>0.12015763927137697</v>
      </c>
      <c r="G46">
        <f t="shared" si="14"/>
        <v>1.7658543570929263E-3</v>
      </c>
      <c r="L46">
        <f t="shared" si="15"/>
        <v>1.7149229472759957</v>
      </c>
    </row>
    <row r="47" spans="1:12" x14ac:dyDescent="0.35">
      <c r="A47" s="7" t="s">
        <v>11</v>
      </c>
      <c r="B47" s="1">
        <v>70766.649999999994</v>
      </c>
      <c r="C47" s="2">
        <v>892.5</v>
      </c>
      <c r="D47" s="1">
        <v>907.9</v>
      </c>
      <c r="E47" s="5">
        <f t="shared" si="12"/>
        <v>1.7254901960784289E-2</v>
      </c>
      <c r="F47" s="5">
        <f t="shared" si="13"/>
        <v>2.2291839137737426E-2</v>
      </c>
      <c r="G47">
        <f t="shared" si="14"/>
        <v>3.8464349884723348E-4</v>
      </c>
      <c r="L47">
        <f t="shared" si="15"/>
        <v>0.37354947198453248</v>
      </c>
    </row>
    <row r="48" spans="1:12" x14ac:dyDescent="0.35">
      <c r="A48" s="7" t="s">
        <v>12</v>
      </c>
      <c r="B48" s="1">
        <v>69297.94</v>
      </c>
      <c r="C48" s="2">
        <v>280.05</v>
      </c>
      <c r="D48" s="1">
        <v>280.25</v>
      </c>
      <c r="E48" s="5">
        <f t="shared" si="12"/>
        <v>7.1415818603816686E-4</v>
      </c>
      <c r="F48" s="5">
        <f t="shared" si="13"/>
        <v>2.1829188340222124E-2</v>
      </c>
      <c r="G48">
        <f t="shared" si="14"/>
        <v>1.5589493547738536E-5</v>
      </c>
      <c r="L48">
        <f t="shared" si="15"/>
        <v>1.5139855738409006E-2</v>
      </c>
    </row>
    <row r="49" spans="1:12" x14ac:dyDescent="0.35">
      <c r="A49" s="7" t="s">
        <v>13</v>
      </c>
      <c r="B49" s="1">
        <v>69758.720000000001</v>
      </c>
      <c r="C49" s="2">
        <v>22.11</v>
      </c>
      <c r="D49" s="1">
        <v>22.19</v>
      </c>
      <c r="E49" s="5">
        <f t="shared" si="12"/>
        <v>3.6182722749887766E-3</v>
      </c>
      <c r="F49" s="5">
        <f t="shared" si="13"/>
        <v>2.1974336282619945E-2</v>
      </c>
      <c r="G49">
        <f t="shared" si="14"/>
        <v>7.9509131732683681E-5</v>
      </c>
      <c r="L49">
        <f t="shared" si="15"/>
        <v>7.7215900608497298E-2</v>
      </c>
    </row>
    <row r="50" spans="1:12" x14ac:dyDescent="0.35">
      <c r="A50" s="7" t="s">
        <v>14</v>
      </c>
      <c r="B50" s="1">
        <v>59139.12</v>
      </c>
      <c r="C50" s="4">
        <v>68.3</v>
      </c>
      <c r="D50" s="1">
        <v>68.540000000000006</v>
      </c>
      <c r="E50" s="5">
        <f t="shared" si="12"/>
        <v>3.5139092240118464E-3</v>
      </c>
      <c r="F50" s="5">
        <f t="shared" si="13"/>
        <v>1.8629110602061145E-2</v>
      </c>
      <c r="G50">
        <f t="shared" si="14"/>
        <v>6.5461003579719531E-5</v>
      </c>
      <c r="L50">
        <f t="shared" si="15"/>
        <v>6.3572953646861566E-2</v>
      </c>
    </row>
    <row r="51" spans="1:12" x14ac:dyDescent="0.35">
      <c r="A51" s="7" t="s">
        <v>15</v>
      </c>
      <c r="B51" s="1">
        <v>32153.52</v>
      </c>
      <c r="C51" s="4">
        <v>194.88</v>
      </c>
      <c r="D51" s="1">
        <v>199.04</v>
      </c>
      <c r="E51" s="5">
        <f t="shared" si="12"/>
        <v>2.1346469622331676E-2</v>
      </c>
      <c r="F51" s="5">
        <f t="shared" si="13"/>
        <v>1.0128515275938922E-2</v>
      </c>
      <c r="G51">
        <f t="shared" si="14"/>
        <v>2.1620804365715253E-4</v>
      </c>
      <c r="L51">
        <f t="shared" si="15"/>
        <v>0.20997209309136089</v>
      </c>
    </row>
    <row r="52" spans="1:12" x14ac:dyDescent="0.35">
      <c r="A52" s="7" t="s">
        <v>16</v>
      </c>
      <c r="B52" s="1">
        <v>20921.71</v>
      </c>
      <c r="C52" s="4">
        <v>325.75</v>
      </c>
      <c r="D52" s="1">
        <v>337.2</v>
      </c>
      <c r="E52" s="5">
        <f t="shared" si="12"/>
        <v>3.5149654643131203E-2</v>
      </c>
      <c r="F52" s="5">
        <f t="shared" si="13"/>
        <v>6.5904404660442808E-3</v>
      </c>
      <c r="G52">
        <f t="shared" si="14"/>
        <v>2.3165170632757313E-4</v>
      </c>
      <c r="L52">
        <f t="shared" si="15"/>
        <v>0.22497032405934114</v>
      </c>
    </row>
    <row r="53" spans="1:12" x14ac:dyDescent="0.35">
      <c r="A53" s="2"/>
      <c r="B53" s="8">
        <f>SUM(B43:B52)</f>
        <v>3174554.1300000004</v>
      </c>
      <c r="C53" s="2"/>
      <c r="G53" s="6"/>
      <c r="L53" s="32">
        <f>SUM(L42:L52)</f>
        <v>985.69060893939684</v>
      </c>
    </row>
    <row r="55" spans="1:12" x14ac:dyDescent="0.35">
      <c r="A55" s="14" t="s">
        <v>1</v>
      </c>
      <c r="B55" s="14" t="s">
        <v>2</v>
      </c>
      <c r="C55" s="14" t="s">
        <v>17</v>
      </c>
      <c r="D55" s="14" t="s">
        <v>50</v>
      </c>
      <c r="E55" s="14" t="s">
        <v>4</v>
      </c>
      <c r="F55" s="14" t="s">
        <v>5</v>
      </c>
      <c r="G55" s="14" t="s">
        <v>6</v>
      </c>
      <c r="H55" s="38" t="s">
        <v>56</v>
      </c>
      <c r="K55" s="9" t="s">
        <v>18</v>
      </c>
      <c r="L55" s="37">
        <f>L53</f>
        <v>985.69060893939684</v>
      </c>
    </row>
    <row r="56" spans="1:12" x14ac:dyDescent="0.35">
      <c r="A56" s="7" t="s">
        <v>7</v>
      </c>
      <c r="B56" s="1">
        <v>1185456.26</v>
      </c>
      <c r="C56" s="2">
        <v>769.55</v>
      </c>
      <c r="D56" s="1">
        <v>767.5</v>
      </c>
      <c r="E56" s="5">
        <f>(D56-C56)/C56</f>
        <v>-2.6638944837891684E-3</v>
      </c>
      <c r="F56" s="5">
        <f>B56/$B$66</f>
        <v>0.37367726998782685</v>
      </c>
      <c r="G56">
        <f>E56*F56</f>
        <v>-9.9543681823796777E-4</v>
      </c>
      <c r="H56" s="7"/>
      <c r="L56">
        <f>G56*$L$55</f>
        <v>-0.98119272352967812</v>
      </c>
    </row>
    <row r="57" spans="1:12" x14ac:dyDescent="0.35">
      <c r="A57" s="7" t="s">
        <v>8</v>
      </c>
      <c r="B57" s="1">
        <v>894679.62</v>
      </c>
      <c r="C57" s="3">
        <v>1246</v>
      </c>
      <c r="D57" s="1">
        <v>1244.5</v>
      </c>
      <c r="E57" s="5">
        <f t="shared" ref="E57:E65" si="16">(D57-C57)/C57</f>
        <v>-1.203852327447833E-3</v>
      </c>
      <c r="F57" s="5">
        <f t="shared" ref="F57:F65" si="17">B57/$B$66</f>
        <v>0.28201920998362801</v>
      </c>
      <c r="G57">
        <f t="shared" ref="G57:G65" si="18">E57*F57</f>
        <v>-3.3950948232378973E-4</v>
      </c>
      <c r="H57" s="7"/>
      <c r="L57">
        <f t="shared" ref="L57:L65" si="19">G57*$L$55</f>
        <v>-0.33465130837243567</v>
      </c>
    </row>
    <row r="58" spans="1:12" x14ac:dyDescent="0.35">
      <c r="A58" s="7" t="s">
        <v>9</v>
      </c>
      <c r="B58" s="1">
        <v>387221.54</v>
      </c>
      <c r="C58" s="3">
        <v>1254.5999999999999</v>
      </c>
      <c r="D58" s="1">
        <v>1244.8</v>
      </c>
      <c r="E58" s="5">
        <f t="shared" si="16"/>
        <v>-7.8112545831340308E-3</v>
      </c>
      <c r="F58" s="5">
        <f t="shared" si="17"/>
        <v>0.12205923814319566</v>
      </c>
      <c r="G58">
        <f t="shared" si="18"/>
        <v>-9.5343578335988519E-4</v>
      </c>
      <c r="H58" s="7"/>
      <c r="L58">
        <f t="shared" si="19"/>
        <v>-0.93979269788461606</v>
      </c>
    </row>
    <row r="59" spans="1:12" x14ac:dyDescent="0.35">
      <c r="A59" s="7" t="s">
        <v>10</v>
      </c>
      <c r="B59" s="1">
        <v>386420.16</v>
      </c>
      <c r="C59" s="2">
        <v>383.2</v>
      </c>
      <c r="D59" s="1">
        <v>387.05</v>
      </c>
      <c r="E59" s="5">
        <f t="shared" si="16"/>
        <v>1.0046972860125321E-2</v>
      </c>
      <c r="F59" s="5">
        <f t="shared" si="17"/>
        <v>0.12180662866216525</v>
      </c>
      <c r="G59">
        <f t="shared" si="18"/>
        <v>1.2237878923521373E-3</v>
      </c>
      <c r="H59" s="7"/>
      <c r="L59">
        <f t="shared" si="19"/>
        <v>1.2062762328252392</v>
      </c>
    </row>
    <row r="60" spans="1:12" x14ac:dyDescent="0.35">
      <c r="A60" s="7" t="s">
        <v>11</v>
      </c>
      <c r="B60" s="1">
        <v>69418.789999999994</v>
      </c>
      <c r="C60" s="2">
        <v>907.9</v>
      </c>
      <c r="D60" s="1">
        <v>886.4</v>
      </c>
      <c r="E60" s="5">
        <f t="shared" si="16"/>
        <v>-2.3681022139002094E-2</v>
      </c>
      <c r="F60" s="5">
        <f t="shared" si="17"/>
        <v>2.1882059092638517E-2</v>
      </c>
      <c r="G60">
        <f t="shared" si="18"/>
        <v>-5.1818952581972485E-4</v>
      </c>
      <c r="H60" s="7"/>
      <c r="L60">
        <f t="shared" si="19"/>
        <v>-0.51077454925126187</v>
      </c>
    </row>
    <row r="61" spans="1:12" x14ac:dyDescent="0.35">
      <c r="A61" s="7" t="s">
        <v>12</v>
      </c>
      <c r="B61" s="1">
        <v>69563.360000000001</v>
      </c>
      <c r="C61" s="2">
        <v>280.25</v>
      </c>
      <c r="D61" s="1">
        <v>281.3</v>
      </c>
      <c r="E61" s="5">
        <f t="shared" si="16"/>
        <v>3.7466547725245724E-3</v>
      </c>
      <c r="F61" s="5">
        <f t="shared" si="17"/>
        <v>2.1927630173364975E-2</v>
      </c>
      <c r="G61">
        <f t="shared" si="18"/>
        <v>8.2155260239191703E-5</v>
      </c>
      <c r="H61" s="7"/>
      <c r="L61">
        <f t="shared" si="19"/>
        <v>8.097966849274349E-2</v>
      </c>
    </row>
    <row r="62" spans="1:12" x14ac:dyDescent="0.35">
      <c r="A62" s="7" t="s">
        <v>13</v>
      </c>
      <c r="B62" s="1">
        <v>69319.39</v>
      </c>
      <c r="C62" s="2">
        <v>22.19</v>
      </c>
      <c r="D62" s="1">
        <v>22.07</v>
      </c>
      <c r="E62" s="5">
        <f t="shared" si="16"/>
        <v>-5.407841369986525E-3</v>
      </c>
      <c r="F62" s="5">
        <f t="shared" si="17"/>
        <v>2.1850726413492019E-2</v>
      </c>
      <c r="G62">
        <f t="shared" si="18"/>
        <v>-1.1816526226313943E-4</v>
      </c>
      <c r="H62" s="7"/>
      <c r="L62">
        <f t="shared" si="19"/>
        <v>-0.11647438931563743</v>
      </c>
    </row>
    <row r="63" spans="1:12" x14ac:dyDescent="0.35">
      <c r="A63" s="7" t="s">
        <v>14</v>
      </c>
      <c r="B63" s="1">
        <v>58269.68</v>
      </c>
      <c r="C63" s="4">
        <v>68.540000000000006</v>
      </c>
      <c r="D63" s="1">
        <v>67.650000000000006</v>
      </c>
      <c r="E63" s="5">
        <f t="shared" si="16"/>
        <v>-1.2985118179165457E-2</v>
      </c>
      <c r="F63" s="5">
        <f t="shared" si="17"/>
        <v>1.8367657821018443E-2</v>
      </c>
      <c r="G63">
        <f t="shared" si="18"/>
        <v>-2.3850620748039718E-4</v>
      </c>
      <c r="H63" s="7"/>
      <c r="L63">
        <f t="shared" si="19"/>
        <v>-0.23509332888717882</v>
      </c>
    </row>
    <row r="64" spans="1:12" x14ac:dyDescent="0.35">
      <c r="A64" s="7" t="s">
        <v>15</v>
      </c>
      <c r="B64" s="1">
        <v>31269.09</v>
      </c>
      <c r="C64" s="4">
        <v>199.04</v>
      </c>
      <c r="D64" s="1">
        <v>194.46</v>
      </c>
      <c r="E64" s="5">
        <f t="shared" si="16"/>
        <v>-2.3010450160771623E-2</v>
      </c>
      <c r="F64" s="5">
        <f t="shared" si="17"/>
        <v>9.8565831405737873E-3</v>
      </c>
      <c r="G64">
        <f t="shared" si="18"/>
        <v>-2.2680441511167498E-4</v>
      </c>
      <c r="H64" s="7"/>
      <c r="L64">
        <f t="shared" si="19"/>
        <v>-0.22355898204157065</v>
      </c>
    </row>
    <row r="65" spans="1:12" x14ac:dyDescent="0.35">
      <c r="A65" s="7" t="s">
        <v>16</v>
      </c>
      <c r="B65" s="1">
        <v>20788.77</v>
      </c>
      <c r="C65" s="4">
        <v>337.2</v>
      </c>
      <c r="D65" s="1">
        <v>338.1</v>
      </c>
      <c r="E65" s="5">
        <f t="shared" si="16"/>
        <v>2.6690391459075744E-3</v>
      </c>
      <c r="F65" s="5">
        <f t="shared" si="17"/>
        <v>6.552996582096445E-3</v>
      </c>
      <c r="G65">
        <f t="shared" si="18"/>
        <v>1.7490204400613951E-5</v>
      </c>
      <c r="H65" s="7"/>
      <c r="L65">
        <f t="shared" si="19"/>
        <v>1.7239930226115682E-2</v>
      </c>
    </row>
    <row r="66" spans="1:12" x14ac:dyDescent="0.35">
      <c r="A66" s="2"/>
      <c r="B66" s="8">
        <f>SUM(B56:B65)</f>
        <v>3172406.66</v>
      </c>
      <c r="C66" s="2"/>
      <c r="G66" s="6"/>
      <c r="H66" s="2"/>
      <c r="L66" s="32">
        <f>SUM(L55:L65)</f>
        <v>983.65356679165848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DB43B-9A96-4D1C-BA53-1A249A70255B}">
  <dimension ref="A1:AA34"/>
  <sheetViews>
    <sheetView showGridLines="0" tabSelected="1" zoomScale="56" workbookViewId="0">
      <selection activeCell="I27" sqref="I27"/>
    </sheetView>
  </sheetViews>
  <sheetFormatPr defaultRowHeight="14.5" x14ac:dyDescent="0.35"/>
  <cols>
    <col min="1" max="1" width="15" bestFit="1" customWidth="1"/>
    <col min="3" max="3" width="12.26953125" bestFit="1" customWidth="1"/>
    <col min="4" max="6" width="12.26953125" customWidth="1"/>
    <col min="7" max="7" width="9.7265625" customWidth="1"/>
    <col min="8" max="8" width="15.453125" bestFit="1" customWidth="1"/>
    <col min="9" max="9" width="12.26953125" customWidth="1"/>
    <col min="11" max="11" width="13.81640625" customWidth="1"/>
    <col min="12" max="12" width="11.26953125" customWidth="1"/>
    <col min="13" max="13" width="23.453125" bestFit="1" customWidth="1"/>
    <col min="14" max="14" width="8.6328125" bestFit="1" customWidth="1"/>
    <col min="15" max="15" width="20.08984375" bestFit="1" customWidth="1"/>
    <col min="17" max="17" width="14.7265625" bestFit="1" customWidth="1"/>
    <col min="18" max="18" width="12" bestFit="1" customWidth="1"/>
    <col min="19" max="19" width="12" customWidth="1"/>
    <col min="20" max="21" width="9.81640625" bestFit="1" customWidth="1"/>
    <col min="22" max="22" width="9.81640625" customWidth="1"/>
    <col min="24" max="24" width="12.36328125" bestFit="1" customWidth="1"/>
  </cols>
  <sheetData>
    <row r="1" spans="1:27" x14ac:dyDescent="0.35">
      <c r="A1" s="14" t="s">
        <v>1</v>
      </c>
      <c r="B1" s="14" t="s">
        <v>3</v>
      </c>
      <c r="C1" s="14" t="s">
        <v>19</v>
      </c>
      <c r="D1" s="21"/>
      <c r="E1" s="21"/>
      <c r="F1" s="21"/>
      <c r="G1" s="21"/>
      <c r="H1" s="21"/>
      <c r="I1" s="21"/>
      <c r="N1" s="13" t="s">
        <v>19</v>
      </c>
      <c r="O1" s="13" t="s">
        <v>20</v>
      </c>
      <c r="P1" s="13"/>
    </row>
    <row r="2" spans="1:27" x14ac:dyDescent="0.35">
      <c r="A2" s="7" t="s">
        <v>7</v>
      </c>
      <c r="B2" s="1">
        <v>771.7</v>
      </c>
      <c r="C2" s="12">
        <v>15.63</v>
      </c>
      <c r="D2" s="12"/>
      <c r="E2" s="12"/>
      <c r="F2" s="12"/>
      <c r="G2" s="12"/>
      <c r="H2" s="12"/>
      <c r="I2" s="12"/>
      <c r="N2" s="13" t="s">
        <v>21</v>
      </c>
      <c r="O2" s="13" t="s">
        <v>22</v>
      </c>
      <c r="P2" s="13"/>
    </row>
    <row r="3" spans="1:27" x14ac:dyDescent="0.35">
      <c r="A3" s="7" t="s">
        <v>8</v>
      </c>
      <c r="B3" s="1">
        <v>1263.4000000000001</v>
      </c>
      <c r="C3" s="12">
        <v>16.7</v>
      </c>
      <c r="D3" s="12"/>
      <c r="E3" s="12"/>
      <c r="F3" s="12"/>
      <c r="G3" s="12"/>
      <c r="H3" s="12"/>
      <c r="I3" s="12"/>
      <c r="N3" t="s">
        <v>28</v>
      </c>
      <c r="O3" t="s">
        <v>29</v>
      </c>
    </row>
    <row r="4" spans="1:27" x14ac:dyDescent="0.35">
      <c r="A4" s="7" t="s">
        <v>9</v>
      </c>
      <c r="B4" s="1">
        <v>1268.3</v>
      </c>
      <c r="C4" s="12">
        <v>14.94</v>
      </c>
      <c r="D4" s="12"/>
      <c r="E4" s="12"/>
      <c r="F4" s="12"/>
      <c r="G4" s="12"/>
      <c r="H4" s="12"/>
      <c r="I4" s="12"/>
      <c r="O4" t="s">
        <v>30</v>
      </c>
    </row>
    <row r="5" spans="1:27" x14ac:dyDescent="0.35">
      <c r="A5" s="7" t="s">
        <v>10</v>
      </c>
      <c r="B5" s="1">
        <v>383.3</v>
      </c>
      <c r="C5" s="12">
        <v>20.28</v>
      </c>
      <c r="D5" s="12"/>
      <c r="E5" s="12"/>
      <c r="F5" s="12"/>
      <c r="G5" s="12"/>
      <c r="H5" s="12"/>
      <c r="I5" s="12"/>
      <c r="X5" s="18"/>
      <c r="Y5" s="18"/>
      <c r="Z5" s="18"/>
      <c r="AA5" s="18"/>
    </row>
    <row r="6" spans="1:27" x14ac:dyDescent="0.35">
      <c r="A6" s="7" t="s">
        <v>11</v>
      </c>
      <c r="B6" s="1">
        <v>916.05</v>
      </c>
      <c r="C6" s="12">
        <v>80.25</v>
      </c>
      <c r="D6" s="12"/>
      <c r="E6" s="12"/>
      <c r="F6" s="12"/>
      <c r="G6" s="12"/>
      <c r="H6" s="12"/>
      <c r="I6" s="12"/>
      <c r="X6" s="18" t="s">
        <v>39</v>
      </c>
      <c r="Y6" s="18" t="s">
        <v>40</v>
      </c>
      <c r="Z6" s="18"/>
      <c r="AA6" s="18"/>
    </row>
    <row r="7" spans="1:27" x14ac:dyDescent="0.35">
      <c r="A7" s="7" t="s">
        <v>12</v>
      </c>
      <c r="B7" s="1">
        <v>286.95</v>
      </c>
      <c r="C7" s="12">
        <v>16.28</v>
      </c>
      <c r="D7" s="12"/>
      <c r="E7" s="12"/>
      <c r="F7" s="12"/>
      <c r="G7" s="12"/>
      <c r="H7" s="12"/>
      <c r="I7" s="12"/>
    </row>
    <row r="8" spans="1:27" x14ac:dyDescent="0.35">
      <c r="A8" s="7" t="s">
        <v>13</v>
      </c>
      <c r="B8" s="1">
        <v>19.93</v>
      </c>
      <c r="C8" s="12">
        <v>17.809999999999999</v>
      </c>
      <c r="D8" s="12"/>
      <c r="E8" s="12"/>
      <c r="F8" s="12"/>
      <c r="G8" s="12"/>
      <c r="H8" s="12"/>
      <c r="I8" s="12"/>
    </row>
    <row r="9" spans="1:27" x14ac:dyDescent="0.35">
      <c r="A9" s="7" t="s">
        <v>14</v>
      </c>
      <c r="B9" s="1">
        <v>69.64</v>
      </c>
      <c r="C9" s="12">
        <v>36.61</v>
      </c>
      <c r="D9" s="12"/>
      <c r="E9" s="12"/>
      <c r="F9" s="12"/>
      <c r="G9" s="12"/>
      <c r="H9" s="12"/>
      <c r="I9" s="12"/>
    </row>
    <row r="10" spans="1:27" x14ac:dyDescent="0.35">
      <c r="A10" s="7" t="s">
        <v>15</v>
      </c>
      <c r="B10" s="1">
        <v>199.72</v>
      </c>
      <c r="C10" s="12">
        <v>26.3</v>
      </c>
      <c r="D10" s="12"/>
      <c r="E10" s="12"/>
      <c r="F10" s="12"/>
      <c r="G10" s="12"/>
      <c r="H10" s="12"/>
      <c r="I10" s="12"/>
    </row>
    <row r="11" spans="1:27" x14ac:dyDescent="0.35">
      <c r="A11" s="7" t="s">
        <v>16</v>
      </c>
      <c r="B11" s="1">
        <v>336.55</v>
      </c>
      <c r="C11" s="12">
        <v>25.3</v>
      </c>
      <c r="D11" s="12"/>
      <c r="E11" s="12"/>
      <c r="F11" s="12"/>
      <c r="G11" s="12"/>
      <c r="H11" s="12"/>
      <c r="I11" s="12"/>
    </row>
    <row r="12" spans="1:27" x14ac:dyDescent="0.35">
      <c r="C12" s="17">
        <f>AVERAGE(C2:C5,C7:C11)</f>
        <v>21.094444444444449</v>
      </c>
      <c r="D12" s="17"/>
      <c r="E12" s="17"/>
      <c r="F12" s="17"/>
      <c r="G12" s="17"/>
      <c r="H12" s="17"/>
      <c r="I12" s="17"/>
      <c r="J12" s="16"/>
      <c r="K12" s="16"/>
      <c r="L12" s="16" t="s">
        <v>23</v>
      </c>
      <c r="M12" s="18" t="s">
        <v>24</v>
      </c>
    </row>
    <row r="13" spans="1:27" x14ac:dyDescent="0.35">
      <c r="C13" s="16"/>
      <c r="D13" s="16"/>
      <c r="E13" s="16"/>
      <c r="F13" s="16"/>
      <c r="G13" s="16"/>
      <c r="H13" s="16"/>
      <c r="I13" s="16"/>
    </row>
    <row r="15" spans="1:27" x14ac:dyDescent="0.35">
      <c r="A15" s="16" t="s">
        <v>25</v>
      </c>
      <c r="M15" s="15" t="s">
        <v>26</v>
      </c>
    </row>
    <row r="16" spans="1:27" x14ac:dyDescent="0.35">
      <c r="A16" s="22" t="s">
        <v>1</v>
      </c>
      <c r="B16" s="22" t="s">
        <v>3</v>
      </c>
      <c r="C16" s="22" t="s">
        <v>19</v>
      </c>
      <c r="D16" s="21" t="s">
        <v>33</v>
      </c>
      <c r="E16" s="21" t="s">
        <v>31</v>
      </c>
      <c r="F16" s="21" t="s">
        <v>35</v>
      </c>
      <c r="G16" s="21" t="s">
        <v>34</v>
      </c>
      <c r="H16" s="21" t="s">
        <v>32</v>
      </c>
      <c r="I16" s="21" t="s">
        <v>35</v>
      </c>
      <c r="J16" s="21" t="s">
        <v>37</v>
      </c>
      <c r="K16" s="21" t="s">
        <v>37</v>
      </c>
      <c r="L16" s="31"/>
      <c r="M16" s="22" t="s">
        <v>1</v>
      </c>
      <c r="N16" s="22" t="s">
        <v>3</v>
      </c>
      <c r="O16" s="22" t="s">
        <v>19</v>
      </c>
      <c r="P16" s="19" t="s">
        <v>27</v>
      </c>
      <c r="Q16" s="21" t="s">
        <v>33</v>
      </c>
      <c r="R16" s="21" t="s">
        <v>31</v>
      </c>
      <c r="S16" s="21" t="s">
        <v>35</v>
      </c>
      <c r="T16" s="21" t="s">
        <v>34</v>
      </c>
      <c r="U16" s="21" t="s">
        <v>32</v>
      </c>
      <c r="V16" s="21" t="s">
        <v>35</v>
      </c>
      <c r="W16" s="21" t="s">
        <v>37</v>
      </c>
      <c r="X16" s="21" t="s">
        <v>37</v>
      </c>
    </row>
    <row r="17" spans="1:24" x14ac:dyDescent="0.35">
      <c r="A17" s="23" t="s">
        <v>7</v>
      </c>
      <c r="B17" s="24">
        <v>771.7</v>
      </c>
      <c r="C17" s="25">
        <v>15.63</v>
      </c>
      <c r="D17" s="26">
        <v>283649</v>
      </c>
      <c r="E17" s="26">
        <v>336367</v>
      </c>
      <c r="F17" s="26">
        <f>E17-D17</f>
        <v>52718</v>
      </c>
      <c r="G17" s="27">
        <v>65446</v>
      </c>
      <c r="H17" s="27">
        <v>73440</v>
      </c>
      <c r="I17" s="27">
        <f>H17-G17</f>
        <v>7994</v>
      </c>
      <c r="J17" s="29" t="s">
        <v>36</v>
      </c>
      <c r="K17" s="29" t="s">
        <v>38</v>
      </c>
      <c r="L17" s="30"/>
      <c r="M17" s="23" t="s">
        <v>14</v>
      </c>
      <c r="N17" s="24">
        <v>69.64</v>
      </c>
      <c r="O17" s="25">
        <v>36.61</v>
      </c>
      <c r="P17" s="28">
        <v>-2.95</v>
      </c>
      <c r="Q17" s="26">
        <v>30322</v>
      </c>
      <c r="R17" s="26">
        <v>36501</v>
      </c>
      <c r="S17" s="26">
        <f>R17-Q17</f>
        <v>6179</v>
      </c>
      <c r="T17" s="27">
        <v>2957</v>
      </c>
      <c r="U17" s="27">
        <v>1525</v>
      </c>
      <c r="V17" s="27">
        <f>U17-T17</f>
        <v>-1432</v>
      </c>
      <c r="W17" s="28" t="s">
        <v>41</v>
      </c>
      <c r="X17" s="28" t="s">
        <v>42</v>
      </c>
    </row>
    <row r="18" spans="1:24" x14ac:dyDescent="0.35">
      <c r="A18" s="23" t="s">
        <v>8</v>
      </c>
      <c r="B18" s="24">
        <v>1263.4000000000001</v>
      </c>
      <c r="C18" s="25">
        <v>16.7</v>
      </c>
      <c r="D18" s="26">
        <v>159516</v>
      </c>
      <c r="E18" s="26">
        <v>186331</v>
      </c>
      <c r="F18" s="26">
        <f t="shared" ref="F18:F22" si="0">E18-D18</f>
        <v>26815</v>
      </c>
      <c r="G18" s="27">
        <v>46081</v>
      </c>
      <c r="H18" s="27">
        <v>54569</v>
      </c>
      <c r="I18" s="27">
        <f t="shared" ref="I18:I22" si="1">H18-G18</f>
        <v>8488</v>
      </c>
      <c r="J18" s="29" t="s">
        <v>36</v>
      </c>
      <c r="K18" s="29" t="s">
        <v>38</v>
      </c>
      <c r="L18" s="30"/>
      <c r="M18" s="23" t="s">
        <v>15</v>
      </c>
      <c r="N18" s="24">
        <v>199.72</v>
      </c>
      <c r="O18" s="25">
        <v>26.3</v>
      </c>
      <c r="P18" s="28">
        <v>-1.49</v>
      </c>
      <c r="Q18" s="26">
        <v>18870</v>
      </c>
      <c r="R18" s="26">
        <v>21948</v>
      </c>
      <c r="S18" s="26">
        <f t="shared" ref="S18:S19" si="2">R18-Q18</f>
        <v>3078</v>
      </c>
      <c r="T18" s="27">
        <v>2230</v>
      </c>
      <c r="U18" s="27">
        <v>2745</v>
      </c>
      <c r="V18" s="27">
        <f t="shared" ref="V18:V19" si="3">U18-T18</f>
        <v>515</v>
      </c>
      <c r="W18" s="28" t="s">
        <v>41</v>
      </c>
      <c r="X18" s="28" t="s">
        <v>42</v>
      </c>
    </row>
    <row r="19" spans="1:24" x14ac:dyDescent="0.35">
      <c r="A19" s="23" t="s">
        <v>9</v>
      </c>
      <c r="B19" s="24">
        <v>1268.3</v>
      </c>
      <c r="C19" s="25">
        <v>14.94</v>
      </c>
      <c r="D19" s="26">
        <v>112759</v>
      </c>
      <c r="E19" s="26">
        <v>127374</v>
      </c>
      <c r="F19" s="26">
        <f t="shared" si="0"/>
        <v>14615</v>
      </c>
      <c r="G19" s="27">
        <v>26492</v>
      </c>
      <c r="H19" s="27">
        <v>28191</v>
      </c>
      <c r="I19" s="27">
        <f t="shared" si="1"/>
        <v>1699</v>
      </c>
      <c r="J19" s="29" t="s">
        <v>36</v>
      </c>
      <c r="K19" s="29" t="s">
        <v>38</v>
      </c>
      <c r="L19" s="30"/>
      <c r="M19" s="23" t="s">
        <v>16</v>
      </c>
      <c r="N19" s="24">
        <v>336.55</v>
      </c>
      <c r="O19" s="25">
        <v>25.3</v>
      </c>
      <c r="P19" s="28">
        <v>-10.81</v>
      </c>
      <c r="Q19" s="26">
        <v>12394</v>
      </c>
      <c r="R19" s="26">
        <v>14039</v>
      </c>
      <c r="S19" s="26">
        <f t="shared" si="2"/>
        <v>1645</v>
      </c>
      <c r="T19" s="27">
        <v>1168</v>
      </c>
      <c r="U19" s="29">
        <v>695</v>
      </c>
      <c r="V19" s="27">
        <f t="shared" si="3"/>
        <v>-473</v>
      </c>
      <c r="W19" s="28" t="s">
        <v>41</v>
      </c>
      <c r="X19" s="28" t="s">
        <v>42</v>
      </c>
    </row>
    <row r="20" spans="1:24" x14ac:dyDescent="0.35">
      <c r="A20" s="23" t="s">
        <v>10</v>
      </c>
      <c r="B20" s="24">
        <v>383.3</v>
      </c>
      <c r="C20" s="25">
        <v>20.28</v>
      </c>
      <c r="D20" s="26">
        <v>56237</v>
      </c>
      <c r="E20" s="26">
        <v>65669</v>
      </c>
      <c r="F20" s="26">
        <f t="shared" si="0"/>
        <v>9432</v>
      </c>
      <c r="G20" s="27">
        <v>18213</v>
      </c>
      <c r="H20" s="27">
        <v>22126</v>
      </c>
      <c r="I20" s="27">
        <f t="shared" si="1"/>
        <v>3913</v>
      </c>
      <c r="J20" s="29" t="s">
        <v>36</v>
      </c>
      <c r="K20" s="29" t="s">
        <v>38</v>
      </c>
      <c r="L20" s="30"/>
    </row>
    <row r="21" spans="1:24" x14ac:dyDescent="0.35">
      <c r="A21" s="23" t="s">
        <v>12</v>
      </c>
      <c r="B21" s="24">
        <v>286.95</v>
      </c>
      <c r="C21" s="25">
        <v>16.28</v>
      </c>
      <c r="D21" s="26">
        <v>23565</v>
      </c>
      <c r="E21" s="26">
        <v>28106</v>
      </c>
      <c r="F21" s="26">
        <f t="shared" si="0"/>
        <v>4541</v>
      </c>
      <c r="G21" s="27">
        <v>3964</v>
      </c>
      <c r="H21" s="27">
        <v>4234</v>
      </c>
      <c r="I21" s="27">
        <f t="shared" si="1"/>
        <v>270</v>
      </c>
      <c r="J21" s="29" t="s">
        <v>36</v>
      </c>
      <c r="K21" s="29" t="s">
        <v>38</v>
      </c>
      <c r="L21" s="30"/>
    </row>
    <row r="22" spans="1:24" x14ac:dyDescent="0.35">
      <c r="A22" s="23" t="s">
        <v>13</v>
      </c>
      <c r="B22" s="24">
        <v>19.93</v>
      </c>
      <c r="C22" s="25">
        <v>17.809999999999999</v>
      </c>
      <c r="D22" s="26">
        <v>27606</v>
      </c>
      <c r="E22" s="26">
        <v>30919</v>
      </c>
      <c r="F22" s="26">
        <f t="shared" si="0"/>
        <v>3313</v>
      </c>
      <c r="G22" s="27">
        <v>1285</v>
      </c>
      <c r="H22" s="27">
        <v>2447</v>
      </c>
      <c r="I22" s="27">
        <f t="shared" si="1"/>
        <v>1162</v>
      </c>
      <c r="J22" s="29" t="s">
        <v>36</v>
      </c>
      <c r="K22" s="29" t="s">
        <v>38</v>
      </c>
      <c r="L22" s="30"/>
    </row>
    <row r="26" spans="1:24" x14ac:dyDescent="0.35">
      <c r="A26" s="22" t="s">
        <v>43</v>
      </c>
      <c r="B26" s="22" t="s">
        <v>45</v>
      </c>
      <c r="C26" s="22" t="s">
        <v>44</v>
      </c>
      <c r="D26" s="21" t="s">
        <v>46</v>
      </c>
      <c r="E26" s="22" t="s">
        <v>44</v>
      </c>
      <c r="F26" s="21" t="s">
        <v>48</v>
      </c>
      <c r="G26" s="22" t="s">
        <v>44</v>
      </c>
      <c r="H26" s="21" t="s">
        <v>47</v>
      </c>
      <c r="I26" s="22" t="s">
        <v>44</v>
      </c>
      <c r="J26" s="21" t="s">
        <v>49</v>
      </c>
      <c r="K26" s="22" t="s">
        <v>44</v>
      </c>
      <c r="L26" s="22" t="s">
        <v>52</v>
      </c>
      <c r="M26" s="22" t="s">
        <v>53</v>
      </c>
    </row>
    <row r="27" spans="1:24" x14ac:dyDescent="0.35">
      <c r="A27" s="23" t="s">
        <v>7</v>
      </c>
      <c r="B27" s="35">
        <v>3.3799999999999997E-2</v>
      </c>
      <c r="C27" s="28">
        <v>5</v>
      </c>
      <c r="D27" s="35">
        <v>0.19700000000000001</v>
      </c>
      <c r="E27" s="28">
        <v>3</v>
      </c>
      <c r="F27" s="35">
        <v>0.67</v>
      </c>
      <c r="G27" s="28">
        <v>6</v>
      </c>
      <c r="H27" s="35">
        <v>0.39900000000000002</v>
      </c>
      <c r="I27" s="28">
        <v>2</v>
      </c>
      <c r="J27" s="36">
        <v>0.34</v>
      </c>
      <c r="K27" s="28">
        <v>5</v>
      </c>
      <c r="L27" s="28">
        <f>C27+E27+G27+I27+K27</f>
        <v>21</v>
      </c>
      <c r="M27" s="28">
        <v>5</v>
      </c>
    </row>
    <row r="28" spans="1:24" x14ac:dyDescent="0.35">
      <c r="A28" s="23" t="s">
        <v>8</v>
      </c>
      <c r="B28" s="28">
        <v>4.32</v>
      </c>
      <c r="C28" s="28">
        <v>2</v>
      </c>
      <c r="D28" s="35">
        <v>0.17180000000000001</v>
      </c>
      <c r="E28" s="28">
        <v>4</v>
      </c>
      <c r="F28" s="35">
        <v>0.75800000000000001</v>
      </c>
      <c r="G28" s="28">
        <v>4</v>
      </c>
      <c r="H28" s="28">
        <v>39.700000000000003</v>
      </c>
      <c r="I28" s="28">
        <v>1</v>
      </c>
      <c r="J28" s="35">
        <v>0.41399999999999998</v>
      </c>
      <c r="K28" s="28">
        <v>2</v>
      </c>
      <c r="L28" s="28">
        <f t="shared" ref="L28:L32" si="4">C28+E28+G28+I28+K28</f>
        <v>13</v>
      </c>
      <c r="M28" s="28">
        <v>2</v>
      </c>
    </row>
    <row r="29" spans="1:24" x14ac:dyDescent="0.35">
      <c r="A29" s="23" t="s">
        <v>9</v>
      </c>
      <c r="B29" s="35">
        <v>3.6900000000000002E-2</v>
      </c>
      <c r="C29" s="28">
        <v>4</v>
      </c>
      <c r="D29" s="35">
        <v>0.16420000000000001</v>
      </c>
      <c r="E29" s="28">
        <v>5</v>
      </c>
      <c r="F29" s="36">
        <v>0.7</v>
      </c>
      <c r="G29" s="28">
        <v>5</v>
      </c>
      <c r="H29" s="36">
        <v>0.42</v>
      </c>
      <c r="I29" s="28">
        <v>3</v>
      </c>
      <c r="J29" s="36">
        <v>0.4</v>
      </c>
      <c r="K29" s="28">
        <v>3</v>
      </c>
      <c r="L29" s="28">
        <f t="shared" si="4"/>
        <v>20</v>
      </c>
      <c r="M29" s="28">
        <v>4</v>
      </c>
      <c r="O29" s="22" t="s">
        <v>54</v>
      </c>
    </row>
    <row r="30" spans="1:24" x14ac:dyDescent="0.35">
      <c r="A30" s="23" t="s">
        <v>10</v>
      </c>
      <c r="B30" s="35">
        <v>4.6699999999999998E-2</v>
      </c>
      <c r="C30" s="28">
        <v>1</v>
      </c>
      <c r="D30" s="35">
        <v>0.23</v>
      </c>
      <c r="E30" s="28">
        <v>1</v>
      </c>
      <c r="F30" s="36">
        <v>0.79</v>
      </c>
      <c r="G30" s="28">
        <v>3</v>
      </c>
      <c r="H30" s="35">
        <v>0.46700000000000003</v>
      </c>
      <c r="I30" s="28">
        <v>4</v>
      </c>
      <c r="J30" s="35">
        <v>0.433</v>
      </c>
      <c r="K30" s="28">
        <v>1</v>
      </c>
      <c r="L30" s="28">
        <f t="shared" si="4"/>
        <v>10</v>
      </c>
      <c r="M30" s="28">
        <v>1</v>
      </c>
    </row>
    <row r="31" spans="1:24" x14ac:dyDescent="0.35">
      <c r="A31" s="23" t="s">
        <v>12</v>
      </c>
      <c r="B31" s="35">
        <v>3.7400000000000003E-2</v>
      </c>
      <c r="C31" s="28">
        <v>3</v>
      </c>
      <c r="D31" s="35">
        <v>0.224</v>
      </c>
      <c r="E31" s="28">
        <v>2</v>
      </c>
      <c r="F31" s="28">
        <v>87.07</v>
      </c>
      <c r="G31" s="28">
        <v>1</v>
      </c>
      <c r="H31" s="28">
        <v>47.28</v>
      </c>
      <c r="I31" s="28">
        <v>5</v>
      </c>
      <c r="J31" s="35">
        <v>0.32940000000000003</v>
      </c>
      <c r="K31" s="28">
        <v>6</v>
      </c>
      <c r="L31" s="28">
        <f t="shared" si="4"/>
        <v>17</v>
      </c>
      <c r="M31" s="28">
        <v>3</v>
      </c>
    </row>
    <row r="32" spans="1:24" x14ac:dyDescent="0.35">
      <c r="A32" s="23" t="s">
        <v>13</v>
      </c>
      <c r="B32" s="35">
        <v>2.7E-2</v>
      </c>
      <c r="C32" s="28">
        <v>6</v>
      </c>
      <c r="D32" s="35">
        <v>0.153</v>
      </c>
      <c r="E32" s="28">
        <v>6</v>
      </c>
      <c r="F32" s="35">
        <v>0.81899999999999995</v>
      </c>
      <c r="G32" s="28">
        <v>2</v>
      </c>
      <c r="H32" s="35">
        <v>0.63</v>
      </c>
      <c r="I32" s="28">
        <v>6</v>
      </c>
      <c r="J32" s="35">
        <v>0.35099999999999998</v>
      </c>
      <c r="K32" s="28">
        <v>4</v>
      </c>
      <c r="L32" s="28">
        <f t="shared" si="4"/>
        <v>24</v>
      </c>
      <c r="M32" s="28">
        <v>6</v>
      </c>
    </row>
    <row r="34" spans="1:1" x14ac:dyDescent="0.35">
      <c r="A34" s="3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FAB43-8510-4F75-A0C0-CE977D3350BF}">
  <dimension ref="A3:H21"/>
  <sheetViews>
    <sheetView topLeftCell="A3" zoomScale="86" workbookViewId="0">
      <selection activeCell="G5" sqref="G5"/>
    </sheetView>
  </sheetViews>
  <sheetFormatPr defaultRowHeight="14.5" x14ac:dyDescent="0.35"/>
  <cols>
    <col min="1" max="1" width="15.453125" bestFit="1" customWidth="1"/>
    <col min="2" max="2" width="9.81640625" bestFit="1" customWidth="1"/>
    <col min="3" max="3" width="14.26953125" bestFit="1" customWidth="1"/>
    <col min="4" max="4" width="10.08984375" bestFit="1" customWidth="1"/>
    <col min="5" max="5" width="10.81640625" bestFit="1" customWidth="1"/>
    <col min="6" max="6" width="12.1796875" bestFit="1" customWidth="1"/>
    <col min="9" max="9" width="38.36328125" customWidth="1"/>
  </cols>
  <sheetData>
    <row r="3" spans="1:8" x14ac:dyDescent="0.35">
      <c r="C3">
        <v>100000000</v>
      </c>
      <c r="F3" s="41">
        <v>46157</v>
      </c>
      <c r="G3" t="s">
        <v>60</v>
      </c>
    </row>
    <row r="4" spans="1:8" x14ac:dyDescent="0.35">
      <c r="A4" s="22" t="s">
        <v>43</v>
      </c>
      <c r="B4" s="22" t="s">
        <v>61</v>
      </c>
      <c r="C4" s="22" t="s">
        <v>62</v>
      </c>
      <c r="D4" s="22" t="s">
        <v>57</v>
      </c>
      <c r="E4" s="22" t="s">
        <v>58</v>
      </c>
      <c r="F4" s="19" t="s">
        <v>59</v>
      </c>
      <c r="G4">
        <f>F11/10000000</f>
        <v>10</v>
      </c>
      <c r="H4" s="47" t="s">
        <v>64</v>
      </c>
    </row>
    <row r="5" spans="1:8" x14ac:dyDescent="0.35">
      <c r="A5" s="45" t="s">
        <v>10</v>
      </c>
      <c r="B5" s="45">
        <v>1</v>
      </c>
      <c r="C5">
        <v>35000000</v>
      </c>
      <c r="D5" s="43">
        <v>387.05</v>
      </c>
      <c r="E5">
        <f>C5/D5</f>
        <v>90427.593334194549</v>
      </c>
      <c r="F5">
        <f>D5*E5</f>
        <v>35000000</v>
      </c>
    </row>
    <row r="6" spans="1:8" x14ac:dyDescent="0.35">
      <c r="A6" s="45" t="s">
        <v>8</v>
      </c>
      <c r="B6" s="45">
        <v>2</v>
      </c>
      <c r="C6">
        <v>25000000</v>
      </c>
      <c r="D6" s="44">
        <v>1244.5</v>
      </c>
      <c r="E6">
        <f t="shared" ref="E6:E10" si="0">C6/D6</f>
        <v>20088.38891120932</v>
      </c>
      <c r="F6">
        <f t="shared" ref="F6:F10" si="1">D6*E6</f>
        <v>25000000</v>
      </c>
    </row>
    <row r="7" spans="1:8" x14ac:dyDescent="0.35">
      <c r="A7" s="45" t="s">
        <v>12</v>
      </c>
      <c r="B7" s="45">
        <v>3</v>
      </c>
      <c r="C7">
        <v>15000000</v>
      </c>
      <c r="D7" s="43">
        <v>281.3</v>
      </c>
      <c r="E7">
        <f t="shared" si="0"/>
        <v>53323.853537148949</v>
      </c>
      <c r="F7">
        <f t="shared" si="1"/>
        <v>15000000</v>
      </c>
    </row>
    <row r="8" spans="1:8" x14ac:dyDescent="0.35">
      <c r="A8" s="45" t="s">
        <v>9</v>
      </c>
      <c r="B8" s="45">
        <v>4</v>
      </c>
      <c r="C8">
        <v>10000000</v>
      </c>
      <c r="D8" s="44">
        <v>1244.8</v>
      </c>
      <c r="E8">
        <f t="shared" si="0"/>
        <v>8033.4190231362472</v>
      </c>
      <c r="F8">
        <f t="shared" si="1"/>
        <v>10000000</v>
      </c>
    </row>
    <row r="9" spans="1:8" x14ac:dyDescent="0.35">
      <c r="A9" s="45" t="s">
        <v>7</v>
      </c>
      <c r="B9" s="45">
        <v>5</v>
      </c>
      <c r="C9">
        <v>8000000</v>
      </c>
      <c r="D9" s="43">
        <v>152.12</v>
      </c>
      <c r="E9">
        <f t="shared" si="0"/>
        <v>52590.060478569547</v>
      </c>
      <c r="F9">
        <f t="shared" si="1"/>
        <v>8000000</v>
      </c>
    </row>
    <row r="10" spans="1:8" ht="15" thickBot="1" x14ac:dyDescent="0.4">
      <c r="A10" s="45" t="s">
        <v>13</v>
      </c>
      <c r="B10" s="45">
        <v>6</v>
      </c>
      <c r="C10">
        <v>7000000</v>
      </c>
      <c r="D10" s="42">
        <v>22.07</v>
      </c>
      <c r="E10">
        <f t="shared" si="0"/>
        <v>317172.63253285002</v>
      </c>
      <c r="F10">
        <f t="shared" si="1"/>
        <v>7000000</v>
      </c>
    </row>
    <row r="11" spans="1:8" x14ac:dyDescent="0.35">
      <c r="C11" s="46">
        <f>SUM(C5:C10)</f>
        <v>100000000</v>
      </c>
      <c r="F11" s="46">
        <f>SUM(F5:F10)</f>
        <v>100000000</v>
      </c>
    </row>
    <row r="13" spans="1:8" x14ac:dyDescent="0.35">
      <c r="D13" t="s">
        <v>63</v>
      </c>
      <c r="E13">
        <f>F21/10000000</f>
        <v>13.298887715815916</v>
      </c>
      <c r="F13" s="41">
        <v>46160</v>
      </c>
    </row>
    <row r="14" spans="1:8" x14ac:dyDescent="0.35">
      <c r="A14" s="22" t="s">
        <v>43</v>
      </c>
      <c r="B14" s="22" t="s">
        <v>61</v>
      </c>
      <c r="C14" s="22" t="s">
        <v>62</v>
      </c>
      <c r="D14" s="22" t="s">
        <v>57</v>
      </c>
      <c r="E14" s="22" t="s">
        <v>58</v>
      </c>
      <c r="F14" s="19" t="s">
        <v>59</v>
      </c>
    </row>
    <row r="15" spans="1:8" x14ac:dyDescent="0.35">
      <c r="A15" s="45" t="s">
        <v>10</v>
      </c>
      <c r="B15" s="45">
        <v>1</v>
      </c>
      <c r="C15">
        <v>35000000</v>
      </c>
      <c r="D15" s="39">
        <v>391.8</v>
      </c>
      <c r="E15">
        <v>90427.593334194549</v>
      </c>
      <c r="F15">
        <f>D15*E15</f>
        <v>35429531.068337426</v>
      </c>
    </row>
    <row r="16" spans="1:8" x14ac:dyDescent="0.35">
      <c r="A16" s="45" t="s">
        <v>8</v>
      </c>
      <c r="B16" s="45">
        <v>2</v>
      </c>
      <c r="C16">
        <v>25000000</v>
      </c>
      <c r="D16" s="40">
        <v>1251.0999999999999</v>
      </c>
      <c r="E16">
        <v>20088.38891120932</v>
      </c>
      <c r="F16">
        <f t="shared" ref="F16:F20" si="2">D16*E16</f>
        <v>25132583.36681398</v>
      </c>
    </row>
    <row r="17" spans="1:6" x14ac:dyDescent="0.35">
      <c r="A17" s="45" t="s">
        <v>12</v>
      </c>
      <c r="B17" s="45">
        <v>3</v>
      </c>
      <c r="C17">
        <v>15000000</v>
      </c>
      <c r="D17" s="39">
        <v>283.95</v>
      </c>
      <c r="E17">
        <v>53323.853537148949</v>
      </c>
      <c r="F17">
        <f>D17*E17</f>
        <v>15141308.211873444</v>
      </c>
    </row>
    <row r="18" spans="1:6" x14ac:dyDescent="0.35">
      <c r="A18" s="45" t="s">
        <v>9</v>
      </c>
      <c r="B18" s="45">
        <v>4</v>
      </c>
      <c r="C18">
        <v>10000000</v>
      </c>
      <c r="D18" s="40">
        <v>1237.9000000000001</v>
      </c>
      <c r="E18">
        <v>8033.4190231362472</v>
      </c>
      <c r="F18">
        <f t="shared" si="2"/>
        <v>9944569.4087403603</v>
      </c>
    </row>
    <row r="19" spans="1:6" x14ac:dyDescent="0.35">
      <c r="A19" s="45" t="s">
        <v>7</v>
      </c>
      <c r="B19" s="45">
        <v>5</v>
      </c>
      <c r="C19">
        <v>8000000</v>
      </c>
      <c r="D19" s="39">
        <v>768.65</v>
      </c>
      <c r="E19">
        <v>52590.060478569547</v>
      </c>
      <c r="F19">
        <f t="shared" si="2"/>
        <v>40423349.986852482</v>
      </c>
    </row>
    <row r="20" spans="1:6" x14ac:dyDescent="0.35">
      <c r="A20" s="45" t="s">
        <v>13</v>
      </c>
      <c r="B20" s="45">
        <v>6</v>
      </c>
      <c r="C20">
        <v>7000000</v>
      </c>
      <c r="D20" s="39">
        <v>21.81</v>
      </c>
      <c r="E20">
        <v>317172.63253285002</v>
      </c>
      <c r="F20">
        <f t="shared" si="2"/>
        <v>6917535.1155414591</v>
      </c>
    </row>
    <row r="21" spans="1:6" x14ac:dyDescent="0.35">
      <c r="C21" s="46">
        <f>SUM(C15:C20)</f>
        <v>100000000</v>
      </c>
      <c r="F21" s="46">
        <f>SUM(F15:F20)</f>
        <v>132988877.15815915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MF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tanya grover</dc:creator>
  <cp:lastModifiedBy>tanya grover</cp:lastModifiedBy>
  <dcterms:created xsi:type="dcterms:W3CDTF">2026-05-01T11:28:01Z</dcterms:created>
  <dcterms:modified xsi:type="dcterms:W3CDTF">2026-06-22T13:08:41Z</dcterms:modified>
</cp:coreProperties>
</file>